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arafa\AppData\Local\Temp\"/>
    </mc:Choice>
  </mc:AlternateContent>
  <xr:revisionPtr revIDLastSave="0" documentId="8_{4DC8B16A-E127-4E51-BD9E-DC9643B29408}" xr6:coauthVersionLast="47" xr6:coauthVersionMax="47" xr10:uidLastSave="{00000000-0000-0000-0000-000000000000}"/>
  <bookViews>
    <workbookView xWindow="4980" yWindow="4980" windowWidth="38700" windowHeight="15345" activeTab="8" xr2:uid="{00000000-000D-0000-FFFF-FFFF00000000}"/>
  </bookViews>
  <sheets>
    <sheet name="Escolher" sheetId="1" r:id="rId1"/>
    <sheet name="Dados Completo" sheetId="2" r:id="rId2"/>
    <sheet name="Dados Selecionados" sheetId="3" r:id="rId3"/>
    <sheet name="DadosG" sheetId="4" state="hidden" r:id="rId4"/>
    <sheet name="Graficos Completo" sheetId="5" r:id="rId5"/>
    <sheet name="Graficos Selecionados" sheetId="6" r:id="rId6"/>
    <sheet name="Unicos" sheetId="7" state="hidden" r:id="rId7"/>
    <sheet name="Mapa" sheetId="8" state="hidden" r:id="rId8"/>
    <sheet name="Como usar" sheetId="9" r:id="rId9"/>
    <sheet name="GrafObj" sheetId="10" state="veryHidden" r:id="rId10"/>
  </sheets>
  <definedNames>
    <definedName name="_xlnm.Print_Area" localSheetId="1">'Dados Completo'!$A$1:$F$503</definedName>
    <definedName name="_xlnm.Print_Area" localSheetId="2">'Dados Selecionados'!$A$1:$F$503</definedName>
    <definedName name="_xlnm.Print_Area" localSheetId="0">Escolher!$A$1:$E$57</definedName>
    <definedName name="_xlnm.Print_Area" localSheetId="4">'Graficos Completo'!$A$1:$L$798</definedName>
    <definedName name="_xlnm.Print_Area" localSheetId="5">'Graficos Selecionados'!$A$1:$L$798</definedName>
    <definedName name="_xlnm.Print_Titles" localSheetId="0">Escolher!$1:$5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14" i="4" l="1"/>
  <c r="FW14" i="4"/>
  <c r="FN14" i="4"/>
  <c r="FE14" i="4"/>
  <c r="EV14" i="4"/>
  <c r="EM14" i="4"/>
  <c r="ED14" i="4"/>
  <c r="DU14" i="4"/>
  <c r="DL14" i="4"/>
  <c r="DC14" i="4"/>
  <c r="CT14" i="4"/>
  <c r="CK14" i="4"/>
  <c r="GX13" i="4"/>
  <c r="GF13" i="4"/>
  <c r="FV13" i="4"/>
  <c r="FM13" i="4"/>
  <c r="FE13" i="4"/>
  <c r="EU13" i="4"/>
  <c r="EM13" i="4"/>
  <c r="ED13" i="4"/>
  <c r="DU13" i="4"/>
  <c r="DL13" i="4"/>
  <c r="DC13" i="4"/>
  <c r="CT13" i="4"/>
  <c r="CK13" i="4"/>
  <c r="GX12" i="4"/>
  <c r="GE12" i="4"/>
  <c r="FW12" i="4"/>
  <c r="FN12" i="4"/>
  <c r="FE12" i="4"/>
  <c r="EV12" i="4"/>
  <c r="EM12" i="4"/>
  <c r="ED12" i="4"/>
  <c r="DU12" i="4"/>
  <c r="DL12" i="4"/>
  <c r="DC12" i="4"/>
  <c r="CT12" i="4"/>
  <c r="CK12" i="4"/>
  <c r="GX11" i="4"/>
  <c r="GF11" i="4"/>
  <c r="FV11" i="4"/>
  <c r="FN11" i="4"/>
  <c r="FE11" i="4"/>
  <c r="EV11" i="4"/>
  <c r="EM11" i="4"/>
  <c r="ED11" i="4"/>
  <c r="DU11" i="4"/>
  <c r="DL11" i="4"/>
  <c r="DB11" i="4"/>
  <c r="CT11" i="4"/>
  <c r="CK11" i="4"/>
  <c r="GX10" i="4"/>
  <c r="GF10" i="4"/>
  <c r="FW10" i="4"/>
  <c r="FN10" i="4"/>
  <c r="FE10" i="4"/>
  <c r="EV10" i="4"/>
  <c r="EM10" i="4"/>
  <c r="ED10" i="4"/>
  <c r="DU10" i="4"/>
  <c r="DL10" i="4"/>
  <c r="DC10" i="4"/>
  <c r="CT10" i="4"/>
  <c r="CK10" i="4"/>
  <c r="JI9" i="4"/>
  <c r="GX9" i="4"/>
  <c r="GF9" i="4"/>
  <c r="FW9" i="4"/>
  <c r="FN9" i="4"/>
  <c r="FE9" i="4"/>
  <c r="EV9" i="4"/>
  <c r="EM9" i="4"/>
  <c r="EC9" i="4"/>
  <c r="DU9" i="4"/>
  <c r="DL9" i="4"/>
  <c r="DB9" i="4"/>
  <c r="CT9" i="4"/>
  <c r="CK9" i="4"/>
  <c r="JI8" i="4"/>
  <c r="GX8" i="4"/>
  <c r="GO8" i="4"/>
  <c r="GF8" i="4"/>
  <c r="FW8" i="4"/>
  <c r="FM8" i="4"/>
  <c r="FE8" i="4"/>
  <c r="EV8" i="4"/>
  <c r="EM8" i="4"/>
  <c r="ED8" i="4"/>
  <c r="DU8" i="4"/>
  <c r="DL8" i="4"/>
  <c r="DC8" i="4"/>
  <c r="CT8" i="4"/>
  <c r="CK8" i="4"/>
  <c r="CB8" i="4"/>
  <c r="BS8" i="4"/>
  <c r="H8" i="4"/>
  <c r="NM7" i="4"/>
  <c r="ND7" i="4"/>
  <c r="JI7" i="4"/>
  <c r="GX7" i="4"/>
  <c r="GO7" i="4"/>
  <c r="GF7" i="4"/>
  <c r="FW7" i="4"/>
  <c r="FM7" i="4"/>
  <c r="FE7" i="4"/>
  <c r="EV7" i="4"/>
  <c r="EM7" i="4"/>
  <c r="EC7" i="4"/>
  <c r="DU7" i="4"/>
  <c r="DL7" i="4"/>
  <c r="DC7" i="4"/>
  <c r="CT7" i="4"/>
  <c r="CK7" i="4"/>
  <c r="CB7" i="4"/>
  <c r="BS7" i="4"/>
  <c r="H7" i="4"/>
  <c r="NM6" i="4"/>
  <c r="ND6" i="4"/>
  <c r="LA6" i="4"/>
  <c r="KA6" i="4"/>
  <c r="JQ6" i="4"/>
  <c r="JI6" i="4"/>
  <c r="HP6" i="4"/>
  <c r="GX6" i="4"/>
  <c r="GO6" i="4"/>
  <c r="GF6" i="4"/>
  <c r="FW6" i="4"/>
  <c r="FM6" i="4"/>
  <c r="FE6" i="4"/>
  <c r="EV6" i="4"/>
  <c r="EM6" i="4"/>
  <c r="EC6" i="4"/>
  <c r="DU6" i="4"/>
  <c r="DL6" i="4"/>
  <c r="DC6" i="4"/>
  <c r="CT6" i="4"/>
  <c r="CK6" i="4"/>
  <c r="CB6" i="4"/>
  <c r="BS6" i="4"/>
  <c r="H6" i="4"/>
  <c r="NM5" i="4"/>
  <c r="ND5" i="4"/>
  <c r="LB5" i="4"/>
  <c r="KS5" i="4"/>
  <c r="KA5" i="4"/>
  <c r="JR5" i="4"/>
  <c r="JI5" i="4"/>
  <c r="IZ5" i="4"/>
  <c r="HX5" i="4"/>
  <c r="HP5" i="4"/>
  <c r="HG5" i="4"/>
  <c r="GX5" i="4"/>
  <c r="GO5" i="4"/>
  <c r="GF5" i="4"/>
  <c r="FW5" i="4"/>
  <c r="FN5" i="4"/>
  <c r="FD5" i="4"/>
  <c r="EV5" i="4"/>
  <c r="EM5" i="4"/>
  <c r="ED5" i="4"/>
  <c r="DU5" i="4"/>
  <c r="DL5" i="4"/>
  <c r="DC5" i="4"/>
  <c r="CT5" i="4"/>
  <c r="CK5" i="4"/>
  <c r="CB5" i="4"/>
  <c r="BS5" i="4"/>
  <c r="H5" i="4"/>
  <c r="NM4" i="4"/>
  <c r="ND4" i="4"/>
  <c r="MU4" i="4"/>
  <c r="ML4" i="4"/>
  <c r="MC4" i="4"/>
  <c r="LT4" i="4"/>
  <c r="LK4" i="4"/>
  <c r="LB4" i="4"/>
  <c r="KR4" i="4"/>
  <c r="KJ4" i="4"/>
  <c r="KA4" i="4"/>
  <c r="JR4" i="4"/>
  <c r="JI4" i="4"/>
  <c r="IZ4" i="4"/>
  <c r="IQ4" i="4"/>
  <c r="IH4" i="4"/>
  <c r="HY4" i="4"/>
  <c r="HO4" i="4"/>
  <c r="HG4" i="4"/>
  <c r="GX4" i="4"/>
  <c r="GO4" i="4"/>
  <c r="GF4" i="4"/>
  <c r="FW4" i="4"/>
  <c r="FN4" i="4"/>
  <c r="FD4" i="4"/>
  <c r="EV4" i="4"/>
  <c r="EM4" i="4"/>
  <c r="ED4" i="4"/>
  <c r="DU4" i="4"/>
  <c r="DL4" i="4"/>
  <c r="DB4" i="4"/>
  <c r="CT4" i="4"/>
  <c r="CJ4" i="4"/>
  <c r="CB4" i="4"/>
  <c r="BS4" i="4"/>
  <c r="H4" i="4"/>
  <c r="NM3" i="4"/>
  <c r="ND3" i="4"/>
  <c r="MU3" i="4"/>
  <c r="MK3" i="4"/>
  <c r="MC3" i="4"/>
  <c r="LT3" i="4"/>
  <c r="LK3" i="4"/>
  <c r="LA3" i="4"/>
  <c r="KR3" i="4"/>
  <c r="KJ3" i="4"/>
  <c r="KA3" i="4"/>
  <c r="JQ3" i="4"/>
  <c r="JI3" i="4"/>
  <c r="IZ3" i="4"/>
  <c r="IQ3" i="4"/>
  <c r="IG3" i="4"/>
  <c r="HX3" i="4"/>
  <c r="HP3" i="4"/>
  <c r="HG3" i="4"/>
  <c r="GX3" i="4"/>
  <c r="GO3" i="4"/>
  <c r="GF3" i="4"/>
  <c r="FW3" i="4"/>
  <c r="FN3" i="4"/>
  <c r="FE3" i="4"/>
  <c r="EV3" i="4"/>
  <c r="EM3" i="4"/>
  <c r="ED3" i="4"/>
  <c r="DU3" i="4"/>
  <c r="DL3" i="4"/>
  <c r="DC3" i="4"/>
  <c r="CS3" i="4"/>
  <c r="CK3" i="4"/>
  <c r="CB3" i="4"/>
  <c r="BS3" i="4"/>
  <c r="AL3" i="4"/>
  <c r="G3" i="4"/>
</calcChain>
</file>

<file path=xl/sharedStrings.xml><?xml version="1.0" encoding="utf-8"?>
<sst xmlns="http://schemas.openxmlformats.org/spreadsheetml/2006/main" count="3820" uniqueCount="639">
  <si>
    <t>Cecília Maria Albergaria Silva  ·  Evolução dos exames</t>
  </si>
  <si>
    <t>Nascimento 30/06/2020.  Passo 1: clique na caixinha à esquerda.  Passo 2: abra Dados Selecionados (tabelas) ou Graficos Selecionados.  Para PDF em retrato: 3 ou 4 por folha, Imprimir selecionados ou Imprimir todos.  Dados Completo e Graficos Completo sempre mostram tudo.</t>
  </si>
  <si>
    <t>Clique na caixinha. PDF: 3 ou 4 por folha e os botões à direita.</t>
  </si>
  <si>
    <t xml:space="preserve"> </t>
  </si>
  <si>
    <t>_ligado</t>
  </si>
  <si>
    <t>Grupo</t>
  </si>
  <si>
    <t>Tabela</t>
  </si>
  <si>
    <t>O que aparece</t>
  </si>
  <si>
    <t>Crescimento</t>
  </si>
  <si>
    <t>IGF-1 - Somatomedina C</t>
  </si>
  <si>
    <t>Hormônio de crescimento ao longo do tempo</t>
  </si>
  <si>
    <t>IGFBP-3 - proteína ligadora-3 do IGF</t>
  </si>
  <si>
    <t>Proteína que transporta o IGF-1</t>
  </si>
  <si>
    <t>GH - hormônio de crescimento (basal)</t>
  </si>
  <si>
    <t>Dosagem isolada (não substitui o teste de estímulo)</t>
  </si>
  <si>
    <t>Teste do GH com glucagon</t>
  </si>
  <si>
    <t>13/01/2025 · laudo pede GH ≥ 5 ng/mL em qualquer tempo</t>
  </si>
  <si>
    <t>Idade óssea</t>
  </si>
  <si>
    <t>RX mão/punho (Greulich-Pyle, feminino)</t>
  </si>
  <si>
    <t>Idade cronológica × idade óssea</t>
  </si>
  <si>
    <t>Tireoide</t>
  </si>
  <si>
    <t>TSH ultra sensível</t>
  </si>
  <si>
    <t>Hormônio que regula a tireoide</t>
  </si>
  <si>
    <t>T4 livre</t>
  </si>
  <si>
    <t>Hormônio da tireoide</t>
  </si>
  <si>
    <t>Hemograma</t>
  </si>
  <si>
    <t>Hemoglobina</t>
  </si>
  <si>
    <t>Série vermelha</t>
  </si>
  <si>
    <t>Hemácias</t>
  </si>
  <si>
    <t>Contagem de hemácias (eritrograma)</t>
  </si>
  <si>
    <t>Hematócrito</t>
  </si>
  <si>
    <t>Volume de hemácias no sangue</t>
  </si>
  <si>
    <t>VCM</t>
  </si>
  <si>
    <t>Tamanho médio das hemácias</t>
  </si>
  <si>
    <t>HCM e CHCM</t>
  </si>
  <si>
    <t>Índices de cor das hemácias</t>
  </si>
  <si>
    <t>RDW</t>
  </si>
  <si>
    <t>Variação de tamanho das hemácias</t>
  </si>
  <si>
    <t>Leucócitos</t>
  </si>
  <si>
    <t>Glóbulos brancos</t>
  </si>
  <si>
    <t>Neutrófilos</t>
  </si>
  <si>
    <t>Segmentados (absolutos). Parte do leucograma</t>
  </si>
  <si>
    <t>Linfócitos</t>
  </si>
  <si>
    <t>Absolutos. Parte do leucograma</t>
  </si>
  <si>
    <t>Monócitos</t>
  </si>
  <si>
    <t>Eosinófilos</t>
  </si>
  <si>
    <t>Basófilos</t>
  </si>
  <si>
    <t>Absolutos. Parte do leucograma (só nos laudos que trazem o valor)</t>
  </si>
  <si>
    <t>Plaquetas</t>
  </si>
  <si>
    <t>Coagulação</t>
  </si>
  <si>
    <t>Fator XIII</t>
  </si>
  <si>
    <t>Único laudo disponível</t>
  </si>
  <si>
    <t>PCR - proteína C reativa quantitativa</t>
  </si>
  <si>
    <t>Marcador de inflamação</t>
  </si>
  <si>
    <t>Urina</t>
  </si>
  <si>
    <t>EAS, Gram e culturas</t>
  </si>
  <si>
    <t>PA e internação 2022 + urina 2023</t>
  </si>
  <si>
    <t>Ferro e vitaminas</t>
  </si>
  <si>
    <t>Ferritina sérica</t>
  </si>
  <si>
    <t>Reserva de ferro</t>
  </si>
  <si>
    <t>Ferro sérico</t>
  </si>
  <si>
    <t>Ferro circulante</t>
  </si>
  <si>
    <t>Índice de saturação da transferrina</t>
  </si>
  <si>
    <t>Quanto do transporte de ferro está ocupado</t>
  </si>
  <si>
    <t>Capacidade total de combinação do ferro</t>
  </si>
  <si>
    <t>CTFF / TIBC</t>
  </si>
  <si>
    <t>25-Hidroxivitamina D</t>
  </si>
  <si>
    <t>Dosagens disponíveis</t>
  </si>
  <si>
    <t>Vitamina B12</t>
  </si>
  <si>
    <t>Única dosagem na pasta</t>
  </si>
  <si>
    <t>Química</t>
  </si>
  <si>
    <t>Glicose - jejum</t>
  </si>
  <si>
    <t>Açúcar no sangue</t>
  </si>
  <si>
    <t>Sódio e potássio</t>
  </si>
  <si>
    <t>Eletrólitos</t>
  </si>
  <si>
    <t>Cálcio iônico</t>
  </si>
  <si>
    <t>Gráfico em mmol/L (o de 2022 veio em mg/dL; convertido ×4, como no laudo de 2024)</t>
  </si>
  <si>
    <t>Gasometria arterial</t>
  </si>
  <si>
    <t>Internação 03/03/2022</t>
  </si>
  <si>
    <t>Cortisol (matutino / série)</t>
  </si>
  <si>
    <t>Dosagens soltas; a série do teste GH está na tabela do GH</t>
  </si>
  <si>
    <t>Creatinina</t>
  </si>
  <si>
    <t>Rim</t>
  </si>
  <si>
    <t>Ureia</t>
  </si>
  <si>
    <t>Fósforo</t>
  </si>
  <si>
    <t>Osso / rim</t>
  </si>
  <si>
    <t>IgE total</t>
  </si>
  <si>
    <t>Alergia / atopia</t>
  </si>
  <si>
    <t>Fosfatase alcalina</t>
  </si>
  <si>
    <t>Osso / fígado</t>
  </si>
  <si>
    <t>Gama GT</t>
  </si>
  <si>
    <t>Gama-GT · fígado / via biliar</t>
  </si>
  <si>
    <t>Transaminase oxalacética e pirúvica</t>
  </si>
  <si>
    <t>TGO/AST e TGP/ALT — nomes do laudo Hermes Pardini</t>
  </si>
  <si>
    <t>Dosagens pontuais</t>
  </si>
  <si>
    <t>Exames feitos uma vez (ou sem série)</t>
  </si>
  <si>
    <t>Genética</t>
  </si>
  <si>
    <t>Cariótipo, array-CGH e exoma</t>
  </si>
  <si>
    <t>Um exame por linha (não se repetem)</t>
  </si>
  <si>
    <t>Pezinho</t>
  </si>
  <si>
    <t>Teste do pezinho</t>
  </si>
  <si>
    <t>Dois cartões no período neonatal</t>
  </si>
  <si>
    <t>Imagens e outros</t>
  </si>
  <si>
    <t>Imagens da cabeça (período neonatal)</t>
  </si>
  <si>
    <t>Ago/2020 · internada (convulsão / hemorragia)</t>
  </si>
  <si>
    <t>TC crânio (acompanhamento)</t>
  </si>
  <si>
    <t>Controle da DVP · jan/2025</t>
  </si>
  <si>
    <t>RM da hipófise</t>
  </si>
  <si>
    <t>Mesmo exame do portal: RM da hipófise</t>
  </si>
  <si>
    <t>Grupo sanguíneo</t>
  </si>
  <si>
    <t>Grupo sanguíneo + fator Rh/Du</t>
  </si>
  <si>
    <t>Suor e imagens em foto</t>
  </si>
  <si>
    <t>Número não extraído (PDF escaneado)</t>
  </si>
  <si>
    <t>EEG, córnea, US e audiologia</t>
  </si>
  <si>
    <t>Exames únicos (sem série numérica)</t>
  </si>
  <si>
    <t>Dica: clique no quadradinho, não no texto. Habilite macros se o Excel pedir. Dados Completo / Graficos Completo = tudo. Dados Selecionados / Graficos Selecionados = só o marcado. PDF: escolha 3 ou 4 por folha e clique Imprimir selecionados ou Imprimir todos. O PDF de cada valor está na coluna Arquivo das abas Dados Completo e Dados Selecionados.</t>
  </si>
  <si>
    <t>Cecília Maria Albergaria Silva  ·  Evolução dos exames (todas as tabelas)</t>
  </si>
  <si>
    <t>Cada bloco é um exame, só com as datas em que ele foi feito. A coluna Arquivo é o PDF na pasta Exames (sem .pdf).</t>
  </si>
  <si>
    <t>Data</t>
  </si>
  <si>
    <t>Resultado</t>
  </si>
  <si>
    <t>Unidade</t>
  </si>
  <si>
    <t>Faixa do laudo</t>
  </si>
  <si>
    <t>Nota</t>
  </si>
  <si>
    <t>Arquivo</t>
  </si>
  <si>
    <t>ng/mL</t>
  </si>
  <si>
    <t>18 a 172 (nessa idade, na época)</t>
  </si>
  <si>
    <t>Abaixo da faixa</t>
  </si>
  <si>
    <t>Sangue - 2021-04-20</t>
  </si>
  <si>
    <t>18 a 172</t>
  </si>
  <si>
    <t>No piso da faixa</t>
  </si>
  <si>
    <t>Sangue - 2021-12-07</t>
  </si>
  <si>
    <t>4–6 anos: cerca de 22 a 208</t>
  </si>
  <si>
    <t>Sangue - 2024-10-15 - Cristiano Albuquerque</t>
  </si>
  <si>
    <t>Maior valor da série</t>
  </si>
  <si>
    <t>Sangue - 2025-07-28</t>
  </si>
  <si>
    <t>Recuou em relação a jul/25</t>
  </si>
  <si>
    <t>Sangue - 2026-02-03</t>
  </si>
  <si>
    <t>♀ 4–6 a: 35 a 232 (faixa nova neste laudo)</t>
  </si>
  <si>
    <t>Maior valor da série; coleta 17/08</t>
  </si>
  <si>
    <t>Sangue - 2026-08-12 - Fernanda Silva</t>
  </si>
  <si>
    <t>mcg/mL</t>
  </si>
  <si>
    <t>muda com a idade (ver laudo)</t>
  </si>
  <si>
    <t>Acompanhou a subida do IGF-1</t>
  </si>
  <si>
    <t>6 a: 1,3 a 5,6</t>
  </si>
  <si>
    <t>Sangue - 2026-08-12 - Fernanda Silva · Sangue - 2026-08-12 - Maria Teixeira</t>
  </si>
  <si>
    <t>basal isolado não define deficiência</t>
  </si>
  <si>
    <t>basal do teste com glucagon</t>
  </si>
  <si>
    <t>Ver tabela do teste</t>
  </si>
  <si>
    <t>Sangue - 2025-01-13</t>
  </si>
  <si>
    <t>Tempo</t>
  </si>
  <si>
    <t>GH (ng/mL)</t>
  </si>
  <si>
    <t>Glicose (mg/dL)</t>
  </si>
  <si>
    <t>Cortisol (mcg/dL)</t>
  </si>
  <si>
    <t>Basal</t>
  </si>
  <si>
    <t>Sangue - 2025-01-13 - Cristiano</t>
  </si>
  <si>
    <t>60 min</t>
  </si>
  <si>
    <t>90 min</t>
  </si>
  <si>
    <t>120 min</t>
  </si>
  <si>
    <t>Pico do GH</t>
  </si>
  <si>
    <t>180 min</t>
  </si>
  <si>
    <t>Pico 3,07 — abaixo de 5</t>
  </si>
  <si>
    <t>Cronológica</t>
  </si>
  <si>
    <t>Óssea</t>
  </si>
  <si>
    <t>Atraso</t>
  </si>
  <si>
    <t>4a7m</t>
  </si>
  <si>
    <t>2a6m</t>
  </si>
  <si>
    <t>25 meses</t>
  </si>
  <si>
    <t>Imagem - 2025-02-10 - Punho</t>
  </si>
  <si>
    <t>5a7m</t>
  </si>
  <si>
    <t>3a6m</t>
  </si>
  <si>
    <t>Atraso estável</t>
  </si>
  <si>
    <t>Imagem - 2026-02-18 - Punho</t>
  </si>
  <si>
    <t>6a1m</t>
  </si>
  <si>
    <t>4a2m</t>
  </si>
  <si>
    <t>23 meses</t>
  </si>
  <si>
    <t>Ainda cerca de 2 anos</t>
  </si>
  <si>
    <t>Imagem - 2026-07-29 - Punho</t>
  </si>
  <si>
    <t>µUI/mL</t>
  </si>
  <si>
    <t>2–12 anos: 0,70 a 6,55</t>
  </si>
  <si>
    <t>Dentro da faixa</t>
  </si>
  <si>
    <t>ng/dL</t>
  </si>
  <si>
    <t>cerca de 0,85 a 1,67</t>
  </si>
  <si>
    <t>2–12 a: 1,05 a 1,67 (faixa nova a partir de 06/07/26)</t>
  </si>
  <si>
    <t>g/dL</t>
  </si>
  <si>
    <t>10,0 a 14,0 (nessa idade)</t>
  </si>
  <si>
    <t>Sangue - 2020-10-17 - Cristina Gonçalves</t>
  </si>
  <si>
    <t>10,5 a 13,5 na época</t>
  </si>
  <si>
    <t>Acima da faixa da época</t>
  </si>
  <si>
    <t>muda com a idade</t>
  </si>
  <si>
    <t>Sangue - 2022-02-09</t>
  </si>
  <si>
    <t>Sangue - 2022-03-01</t>
  </si>
  <si>
    <t>Sangue - 2022-03-03</t>
  </si>
  <si>
    <t>11,5 a 13,5</t>
  </si>
  <si>
    <t>Sangue - 2025-05-28</t>
  </si>
  <si>
    <t>Sangue - 2026-07-29</t>
  </si>
  <si>
    <t>10⁶/mm³</t>
  </si>
  <si>
    <t>3,20 a 4,50</t>
  </si>
  <si>
    <t>Acima da faixa</t>
  </si>
  <si>
    <t>3,70 a 5,70</t>
  </si>
  <si>
    <t>3,70 a 5,20</t>
  </si>
  <si>
    <t>3,80 a 5,00</t>
  </si>
  <si>
    <t>3,90 a 5,30</t>
  </si>
  <si>
    <t>%</t>
  </si>
  <si>
    <t>28 a 42</t>
  </si>
  <si>
    <t>32 a 40</t>
  </si>
  <si>
    <t>33 a 42</t>
  </si>
  <si>
    <t>24 a 44</t>
  </si>
  <si>
    <t>34 a 40</t>
  </si>
  <si>
    <t>fL</t>
  </si>
  <si>
    <t>78 a 100</t>
  </si>
  <si>
    <t>74 a 88</t>
  </si>
  <si>
    <t>75 a 88</t>
  </si>
  <si>
    <t>78 a 92</t>
  </si>
  <si>
    <t>75 a 87</t>
  </si>
  <si>
    <t>HCM (pg)</t>
  </si>
  <si>
    <t>CHCM</t>
  </si>
  <si>
    <t>Faixa</t>
  </si>
  <si>
    <t>HCM 26–34 · CHCM 30–36</t>
  </si>
  <si>
    <t>HCM 25–34 · CHCM 30–36</t>
  </si>
  <si>
    <t>HCM 26–33 · CHCM 31–36</t>
  </si>
  <si>
    <t>HCM 26–31 · CHCM 31–34</t>
  </si>
  <si>
    <t>CHCM no teto / um pouco acima</t>
  </si>
  <si>
    <t>HCM 24–30 · CHCM 32–36 g/dL</t>
  </si>
  <si>
    <t>CHCM abaixo da faixa</t>
  </si>
  <si>
    <t>típico ~11,5 a 15</t>
  </si>
  <si>
    <t>11,3 a 15,0</t>
  </si>
  <si>
    <t>11,5 a 14,8</t>
  </si>
  <si>
    <t>No teto da faixa</t>
  </si>
  <si>
    <t>/mm³</t>
  </si>
  <si>
    <t>cerca de 5.000 a 14.500</t>
  </si>
  <si>
    <t>cerca de 6.000 a 11.000 na época</t>
  </si>
  <si>
    <t>faixa infantil do laudo</t>
  </si>
  <si>
    <t>5.000 a 14.500</t>
  </si>
  <si>
    <t>Voltou para a faixa</t>
  </si>
  <si>
    <t>1.000 a 8.500</t>
  </si>
  <si>
    <t>1.500 a 8.500</t>
  </si>
  <si>
    <t>2.000 a 5.000</t>
  </si>
  <si>
    <t>1.500 a 8.000</t>
  </si>
  <si>
    <t>4.000 a 13.500</t>
  </si>
  <si>
    <t>4.000 a 10.500</t>
  </si>
  <si>
    <t>1.500 a 7.000</t>
  </si>
  <si>
    <t>5.500 a 9.000 (laudo PA)</t>
  </si>
  <si>
    <t>Abaixo da faixa da época</t>
  </si>
  <si>
    <t>80 a 1.100</t>
  </si>
  <si>
    <t>80 a 1.000</t>
  </si>
  <si>
    <t>80 a 800</t>
  </si>
  <si>
    <t>200 a 1.300</t>
  </si>
  <si>
    <t>200 a 1.000</t>
  </si>
  <si>
    <t>40 a 850</t>
  </si>
  <si>
    <t>40 a 700</t>
  </si>
  <si>
    <t>40 a 650</t>
  </si>
  <si>
    <t>70 a 650</t>
  </si>
  <si>
    <t>100 a 1.000</t>
  </si>
  <si>
    <t>No piso</t>
  </si>
  <si>
    <t>até 200</t>
  </si>
  <si>
    <t>150.000 a 450.000</t>
  </si>
  <si>
    <t>200.000 a 500.000 no laudo</t>
  </si>
  <si>
    <t>70 a 140%</t>
  </si>
  <si>
    <t>Sangue - 2020-10-17 - Fator XIII</t>
  </si>
  <si>
    <t>mg/L</t>
  </si>
  <si>
    <t>0 a 10</t>
  </si>
  <si>
    <t>PA</t>
  </si>
  <si>
    <t>&lt; 10</t>
  </si>
  <si>
    <t>Limite inferior do ensaio</t>
  </si>
  <si>
    <t>Exame</t>
  </si>
  <si>
    <t>Resumo</t>
  </si>
  <si>
    <t>EAS + Gram</t>
  </si>
  <si>
    <t>Cetônicos negativos · piócitos 5–10 · Gram sem bactérias</t>
  </si>
  <si>
    <t>No mesmo PDF do hemograma</t>
  </si>
  <si>
    <t>Cetônicos +++ · hemácias 5–10 · raros bastonetes GN</t>
  </si>
  <si>
    <t>Urina - 2022-03-01</t>
  </si>
  <si>
    <t>Urocultura e hemocultura</t>
  </si>
  <si>
    <t>Ambas negativas</t>
  </si>
  <si>
    <t>Internação</t>
  </si>
  <si>
    <t>Sangue - 2022-03-02 - Culturas</t>
  </si>
  <si>
    <t>EAS</t>
  </si>
  <si>
    <t>Cetônicos 10 mg/dL · densidade 1,004 · resto sem alteração</t>
  </si>
  <si>
    <t>Ambulatorial</t>
  </si>
  <si>
    <t>Urina - 2023-02-14</t>
  </si>
  <si>
    <t>6 meses–15 anos ♀: cerca de 7 a 140</t>
  </si>
  <si>
    <t>Baixa</t>
  </si>
  <si>
    <t>Subiu</t>
  </si>
  <si>
    <t>mcg/dL</t>
  </si>
  <si>
    <t>1–12 anos: cerca de 50 a 120</t>
  </si>
  <si>
    <t>Normalizou</t>
  </si>
  <si>
    <t>No teto / um pouco acima</t>
  </si>
  <si>
    <t>mulheres: 15 a 50%</t>
  </si>
  <si>
    <t>250 a 425</t>
  </si>
  <si>
    <t>adequado 20–60 · ideal grupos de risco 30–60</t>
  </si>
  <si>
    <t>Adequado</t>
  </si>
  <si>
    <t>Estável</t>
  </si>
  <si>
    <t>pg/mL</t>
  </si>
  <si>
    <t>172 a 890</t>
  </si>
  <si>
    <t>mg/dL</t>
  </si>
  <si>
    <t>60 a 99</t>
  </si>
  <si>
    <t>jejum 60 a 99</t>
  </si>
  <si>
    <t>Arterial, sem jejum (internação)</t>
  </si>
  <si>
    <t>Sódio (mEq/L)</t>
  </si>
  <si>
    <t>Potássio (mEq/L)</t>
  </si>
  <si>
    <t>Na 136–145 · K 3,5–5,1</t>
  </si>
  <si>
    <t>Na no limite inferior</t>
  </si>
  <si>
    <t>K no teto</t>
  </si>
  <si>
    <t>Na abaixo da faixa (arterial)</t>
  </si>
  <si>
    <t>mmol/L</t>
  </si>
  <si>
    <t>1,10 a 1,48 (convertido de 4,40–5,92 mg/dL)</t>
  </si>
  <si>
    <t>Arterial; 5,30 mg/dL no laudo</t>
  </si>
  <si>
    <t>até 18 a: 1,20 a 1,38</t>
  </si>
  <si>
    <t>pH</t>
  </si>
  <si>
    <t>pCO2 / HCO3</t>
  </si>
  <si>
    <t>Na / K / glicose</t>
  </si>
  <si>
    <t>30,9 / 25,1</t>
  </si>
  <si>
    <t>134 / 3,8 / 97</t>
  </si>
  <si>
    <t>Alcalemia respiratória leve; Na baixo</t>
  </si>
  <si>
    <t>7–9h: 5,3 a 22,5</t>
  </si>
  <si>
    <t>Acima da faixa matutina</t>
  </si>
  <si>
    <t>0–1 a: 0,17 a 0,52</t>
  </si>
  <si>
    <t>No limite inferior</t>
  </si>
  <si>
    <t>2–4 a: 0,18 a 0,49</t>
  </si>
  <si>
    <t>♀ 5–8 a: 0,30 a 0,61</t>
  </si>
  <si>
    <t>crianças: 10,8 a 38,4</t>
  </si>
  <si>
    <t>1–4 a ♀: 4,4 a 6,2</t>
  </si>
  <si>
    <t>UI/mL</t>
  </si>
  <si>
    <t>1–4 a: até 313,5</t>
  </si>
  <si>
    <t>5–10 a: até 555,1</t>
  </si>
  <si>
    <t>U/L</t>
  </si>
  <si>
    <t>♀ 1–3 a: 129 a 376</t>
  </si>
  <si>
    <t>♀ 4–6 a: 114 a 353</t>
  </si>
  <si>
    <t>♀ &lt; 38</t>
  </si>
  <si>
    <t>Sangue - 2021-12-18</t>
  </si>
  <si>
    <t>Oxalacética (U/L)</t>
  </si>
  <si>
    <t>Pirúvica (U/L)</t>
  </si>
  <si>
    <t>TGO ≤ 40 · TGP ≤ 41 (♀)</t>
  </si>
  <si>
    <t>TGO no teto</t>
  </si>
  <si>
    <t>TGO ≤ 33 · TGP ≤ 41 (♀)</t>
  </si>
  <si>
    <t>Faixa de TGO deste laudo: mulheres ≤ 33</t>
  </si>
  <si>
    <t>Reticulócitos</t>
  </si>
  <si>
    <t>1,0% · 47.300/mm³</t>
  </si>
  <si>
    <t>ACTH</t>
  </si>
  <si>
    <t>6,0 pg/mL</t>
  </si>
  <si>
    <t>T4 total</t>
  </si>
  <si>
    <t>9,7 mcg/dL</t>
  </si>
  <si>
    <t>T3 total</t>
  </si>
  <si>
    <t>1,39 ng/mL</t>
  </si>
  <si>
    <t>T3 livre</t>
  </si>
  <si>
    <t>4,1 pg/mL</t>
  </si>
  <si>
    <t>No teto</t>
  </si>
  <si>
    <t>Coagulograma</t>
  </si>
  <si>
    <t>ver laudo</t>
  </si>
  <si>
    <t>Colesterol total e frações</t>
  </si>
  <si>
    <t>131 / HDL 44 / LDL 74 mg/dL</t>
  </si>
  <si>
    <t>HDL um pouco abaixo</t>
  </si>
  <si>
    <t>Triglicérides</t>
  </si>
  <si>
    <t>50 mg/dL</t>
  </si>
  <si>
    <t>Imunoglobulinas IgA</t>
  </si>
  <si>
    <t>154 mg/dL</t>
  </si>
  <si>
    <t>Imunoglobulinas IgG</t>
  </si>
  <si>
    <t>980 mg/dL</t>
  </si>
  <si>
    <t>Imunoglobulinas IgM</t>
  </si>
  <si>
    <t>74 mg/dL</t>
  </si>
  <si>
    <t>TTG, anticorpos anti-transglutaminase tecidual-IgA</t>
  </si>
  <si>
    <t>0,8 U/mL</t>
  </si>
  <si>
    <t>Paratormônio PTH intacto</t>
  </si>
  <si>
    <t>43,9 pg/mL</t>
  </si>
  <si>
    <t>Albumina</t>
  </si>
  <si>
    <t>4,5 g/dL</t>
  </si>
  <si>
    <t>Proteínas totais e fracionadas</t>
  </si>
  <si>
    <t>6,9 g/dL</t>
  </si>
  <si>
    <t>globulinas 2,5 · A/G 1,8</t>
  </si>
  <si>
    <t>Gasometria venosa</t>
  </si>
  <si>
    <t>pH 7,41 · HCO3 24 · BE −0,9</t>
  </si>
  <si>
    <t>Homocisteína</t>
  </si>
  <si>
    <t>9,64 µmol/L</t>
  </si>
  <si>
    <t>Amônia</t>
  </si>
  <si>
    <t>23 µmol/L</t>
  </si>
  <si>
    <t>Ácido lático - lactato</t>
  </si>
  <si>
    <t>10,8 mg/dL</t>
  </si>
  <si>
    <t>Perfil de aminoácidos - quantitativo</t>
  </si>
  <si>
    <t>12 aa + ASA</t>
  </si>
  <si>
    <t>Hormônio folículo estimulante - FSH</t>
  </si>
  <si>
    <t>0,91 mUI/mL</t>
  </si>
  <si>
    <t>Hormônio luteinizante - LH</t>
  </si>
  <si>
    <t>0,07 mUI/mL</t>
  </si>
  <si>
    <t>Estradiol, 17 beta</t>
  </si>
  <si>
    <t>19,0 pg/mL</t>
  </si>
  <si>
    <t>Pré-púbere</t>
  </si>
  <si>
    <t>Transferrina</t>
  </si>
  <si>
    <t>271 mg/dL</t>
  </si>
  <si>
    <t>IgE específico para clara de ovo (f1)</t>
  </si>
  <si>
    <t>0,19 kU/L</t>
  </si>
  <si>
    <t>Muito baixo / classe 0</t>
  </si>
  <si>
    <t>Cariótipo com banda G</t>
  </si>
  <si>
    <t>46,XX</t>
  </si>
  <si>
    <t>Sem alteração na resolução analisada</t>
  </si>
  <si>
    <t>Sangue - 2022-05-25</t>
  </si>
  <si>
    <t>Análise cromossômica por array-CGH 400K (CGH+SNP)</t>
  </si>
  <si>
    <t>arr(1-22,X)x2</t>
  </si>
  <si>
    <t>Sem CNV clínica</t>
  </si>
  <si>
    <t>Sangue - 2022-10-04</t>
  </si>
  <si>
    <t>Exoma com análise de CNV e DNA mitocondrial</t>
  </si>
  <si>
    <t>Sem variante reportada</t>
  </si>
  <si>
    <t>Reanálise 2025: mesma conclusão</t>
  </si>
  <si>
    <t>Sangue - 2022-12-28</t>
  </si>
  <si>
    <t>Reanálise de dados brutos de exoma</t>
  </si>
  <si>
    <t>Mesma conclusão</t>
  </si>
  <si>
    <t>Sangue - 2025-04-21</t>
  </si>
  <si>
    <t>Laboratório</t>
  </si>
  <si>
    <t>NeoCenter (ampliado)</t>
  </si>
  <si>
    <t>TSH 1,2 (normal) · T4 18,0 (acima 2,3–11) · demais sem alteração</t>
  </si>
  <si>
    <t>T4 alto neste cartão</t>
  </si>
  <si>
    <t>Pezinho - 2020-07-03</t>
  </si>
  <si>
    <t>Programa público</t>
  </si>
  <si>
    <t>Hemoglobinas normais · IRT, Phe, 17-OHP, TSH e biotinidase no alvo</t>
  </si>
  <si>
    <t>Repetição dentro da referência</t>
  </si>
  <si>
    <t>Pezinho - 2020-07-21</t>
  </si>
  <si>
    <t>Resumo do laudo</t>
  </si>
  <si>
    <t>US transfontanela</t>
  </si>
  <si>
    <t>HIV grau II/III bilateral; ventrículos assimétricos com conteúdo ecogênico (coágulo, + à dir.)</t>
  </si>
  <si>
    <t>Dr. Antonio Carlos</t>
  </si>
  <si>
    <t>Imagem - 2020-08-04 - Antonio Pinto</t>
  </si>
  <si>
    <t>TC crânio</t>
  </si>
  <si>
    <t>Área hiperdensa no caudado direito + sangue no sistema ventricular</t>
  </si>
  <si>
    <t>Indicação: convulsão</t>
  </si>
  <si>
    <t>Imagem - 2020-08-04 - Sem solicitante</t>
  </si>
  <si>
    <t>HIV grau III bilateral; ventriculomegalia; sem regressão em relação a 04/08</t>
  </si>
  <si>
    <t>Dra. Marlice</t>
  </si>
  <si>
    <t>Imagem - 2020-08-08</t>
  </si>
  <si>
    <t>TC + angio</t>
  </si>
  <si>
    <t>Hemoventrículo acentuado, dilatação, cânula de derivação</t>
  </si>
  <si>
    <t>Imagem - 2020-08-11</t>
  </si>
  <si>
    <t>RM encéfalo</t>
  </si>
  <si>
    <t>Hemorragia tálamo/caudado dir. com extensão ventricular e dilatação</t>
  </si>
  <si>
    <t>Imagem - 2020-08-16</t>
  </si>
  <si>
    <t>TC crânio sem contraste</t>
  </si>
  <si>
    <t>Trepano parietal dir. (cateter de DVP; extremidade distal aparentemente fora do ventrículo); material no seio esfenoidal dir.; tecido em rinofaringe reduzindo via aérea. Sem hemorragia ou isquemia aguda.</t>
  </si>
  <si>
    <t>Solicitante: Dra. Silvania</t>
  </si>
  <si>
    <t>Imagem - 2025-01-19 - TC Crânio</t>
  </si>
  <si>
    <t>Discreta hipoplasia da adeno-hipófise (altura até 3,5 mm). DVP tópica, sem dilatação.</t>
  </si>
  <si>
    <t>Resto sem alteração no método</t>
  </si>
  <si>
    <t>Imagem - 2025-02-04</t>
  </si>
  <si>
    <t>O · Rh (D) positivo</t>
  </si>
  <si>
    <t>Sangue - 2024-10-15 - Grupo RH</t>
  </si>
  <si>
    <t>Teste do suor</t>
  </si>
  <si>
    <t>Laudo em foto (número não extraído)</t>
  </si>
  <si>
    <t>Abrir o PDF</t>
  </si>
  <si>
    <t>Suor - 2024-10-18</t>
  </si>
  <si>
    <t>Radiografia digital do crânio (PA e perfil)</t>
  </si>
  <si>
    <t>Laudo em foto</t>
  </si>
  <si>
    <t>Dra. Milena · scan</t>
  </si>
  <si>
    <t>Imagem - 2025-06-04</t>
  </si>
  <si>
    <t>Orelhinha (EOA)</t>
  </si>
  <si>
    <t>Triagem neonatal</t>
  </si>
  <si>
    <t>Aline Cornelio</t>
  </si>
  <si>
    <t>Audiologia - 2020-07-01</t>
  </si>
  <si>
    <t>EEG sono espontâneo</t>
  </si>
  <si>
    <t>Baixa voltagem, sem ritmos regionais; sono mal definido; sem assimetria nem irritativa. Discreta disfunção córtico-subcortical inespecífica.</t>
  </si>
  <si>
    <t>Dra. Luciana</t>
  </si>
  <si>
    <t>EEG - 2020-10-23</t>
  </si>
  <si>
    <t>Topografia de córnea</t>
  </si>
  <si>
    <t>Astigmatismo discretamente irregular, boa simetria; ceratometria acima do usual. Controle em 6 meses.</t>
  </si>
  <si>
    <t>Dra. Cristiana · Orbscan</t>
  </si>
  <si>
    <t>Imagem - 2023-10-31</t>
  </si>
  <si>
    <t>Audiometria, imitação, EOApd e EOAT</t>
  </si>
  <si>
    <t>Quatro laudos (Amanda Dias)</t>
  </si>
  <si>
    <t>Ver PDFs</t>
  </si>
  <si>
    <t>Audiologia - 2024-11-14 - Audio e imitancia · Audiologia - 2024-11-14 - EOApd · Audiologia - 2024-11-14 - EOAT</t>
  </si>
  <si>
    <t>PEATE</t>
  </si>
  <si>
    <t>Bruna Pereira</t>
  </si>
  <si>
    <t>Ver PDF</t>
  </si>
  <si>
    <t>Audiologia - 2024-11-25</t>
  </si>
  <si>
    <t>US abdome inferior</t>
  </si>
  <si>
    <t>Útero e ovários pré-púberes (útero 0,6 cm³). Folículos anecoicos. Líquido livre anexial (~1,6 e 2,7 cm³).</t>
  </si>
  <si>
    <t>Dra. Júlia</t>
  </si>
  <si>
    <t>Imagem - 2025-07-28</t>
  </si>
  <si>
    <t>Legenda: isto resume os laudos da pasta Exames. A coluna Arquivo é o PDF (nome na pasta, sem .pdf). Não substitui o laudo. Interpretação na coluna Nota é só leitura do próprio laudo (faixa, subiu, caiu). Conduta é com o médico.</t>
  </si>
  <si>
    <t>Cecília Maria Albergaria Silva  ·  Exames selecionados</t>
  </si>
  <si>
    <t>Igual à aba Dados Completo, só o marcado em Escolher. Coluna Arquivo = PDF na pasta Exames.</t>
  </si>
  <si>
    <t>Cecília — gráficos (todos os exames com faixa numérica)</t>
  </si>
  <si>
    <t>Em cada data, se o laudo tem faixa, a barra clara é essa faixa (muda com a idade). Ponto verde = dentro. Ponto vermelho = fora. Sem faixa de referência, só a linha do resultado. Gráfico só com dois ou mais pontos; um resultado só vai na tabela no final.</t>
  </si>
  <si>
    <t>Cecília — gráficos selecionados</t>
  </si>
  <si>
    <t>Iguais aos da aba Graficos Completo, só com o que estiver marcado em Escolher. Habilite macros. Esta aba se atualiza ao você abrir ela. Barra clara = faixa do laudo; verde = dentro; vermelho = fora.</t>
  </si>
  <si>
    <t>Valor</t>
  </si>
  <si>
    <t>Piso</t>
  </si>
  <si>
    <t>Teto</t>
  </si>
  <si>
    <t>Pad</t>
  </si>
  <si>
    <t>Dentro</t>
  </si>
  <si>
    <t>Fora</t>
  </si>
  <si>
    <t>IGF-1 - Somatomedina C  (ng/mL)</t>
  </si>
  <si>
    <t>Barra azul-clara = faixa do laudo nesta data. Verde = dentro. Vermelho = fora.</t>
  </si>
  <si>
    <t>IGFBP-3 - proteína ligadora-3 do IGF  (mcg/mL)</t>
  </si>
  <si>
    <t>Sem faixa de referência neste laudo: só a evolução do resultado.</t>
  </si>
  <si>
    <t>GH - hormônio de crescimento (basal)  (ng/mL)</t>
  </si>
  <si>
    <t>GH no teste com glucagon</t>
  </si>
  <si>
    <t>GH no teste com glucagon  (ng/mL)</t>
  </si>
  <si>
    <t>Sem barra de faixa. O laudo pede GH ≥ 5 ng/mL em qualquer tempo (pico 3,07).</t>
  </si>
  <si>
    <t>Glicose no teste GH</t>
  </si>
  <si>
    <t>Glicose no teste GH  (mg/dL)</t>
  </si>
  <si>
    <t>Sem faixa de referência: glicose durante o teste de estímulo.</t>
  </si>
  <si>
    <t>Cortisol no teste GH</t>
  </si>
  <si>
    <t>Cortisol no teste GH  (mcg/dL)</t>
  </si>
  <si>
    <t>Sem faixa de referência: cortisol durante o teste de estímulo.</t>
  </si>
  <si>
    <t>RX mão/punho (Greulich-Pyle, feminino)  (meses)</t>
  </si>
  <si>
    <t>Sem faixa de laboratório: compara idade cronológica × idade óssea.</t>
  </si>
  <si>
    <t>TSH ultra sensível  (µUI/mL)</t>
  </si>
  <si>
    <t>T4 livre  (ng/dL)</t>
  </si>
  <si>
    <t>Hemoglobina  (g/dL)</t>
  </si>
  <si>
    <t>Hemácias  (10⁶/mm³)</t>
  </si>
  <si>
    <t>Hematócrito  (%)</t>
  </si>
  <si>
    <t>VCM  (fL)</t>
  </si>
  <si>
    <t>HCM</t>
  </si>
  <si>
    <t>HCM  (pg)</t>
  </si>
  <si>
    <t>CHCM  (g/dL)</t>
  </si>
  <si>
    <t>RDW  (%)</t>
  </si>
  <si>
    <t>Leucócitos  (/mm³)</t>
  </si>
  <si>
    <t>Neutrófilos  (/mm³)</t>
  </si>
  <si>
    <t>Linfócitos  (/mm³)</t>
  </si>
  <si>
    <t>Monócitos  (/mm³)</t>
  </si>
  <si>
    <t>Eosinófilos  (/mm³)</t>
  </si>
  <si>
    <t>Basófilos  (/mm³)</t>
  </si>
  <si>
    <t>Plaquetas  (/mm³)</t>
  </si>
  <si>
    <t>PCR - proteína C reativa quantitativa  (mg/L)</t>
  </si>
  <si>
    <t>Ferritina sérica  (ng/mL)</t>
  </si>
  <si>
    <t>Ferro sérico  (mcg/dL)</t>
  </si>
  <si>
    <t>Índice de saturação da transferrina  (%)</t>
  </si>
  <si>
    <t>Capacidade total de combinação do ferro  (mcg/dL)</t>
  </si>
  <si>
    <t>25-Hidroxivitamina D  (ng/mL)</t>
  </si>
  <si>
    <t>Glicose - jejum  (mg/dL)</t>
  </si>
  <si>
    <t>Sódio</t>
  </si>
  <si>
    <t>Sódio  (mEq/L)</t>
  </si>
  <si>
    <t>Potássio</t>
  </si>
  <si>
    <t>Potássio  (mEq/L)</t>
  </si>
  <si>
    <t>Cálcio iônico  (mmol/L)</t>
  </si>
  <si>
    <t>Cortisol (matutino / série)  (mcg/dL)</t>
  </si>
  <si>
    <t>Creatinina  (mg/dL)</t>
  </si>
  <si>
    <t>Ureia  (mg/dL)</t>
  </si>
  <si>
    <t>Fósforo  (mg/dL)</t>
  </si>
  <si>
    <t>IgE total  (UI/mL)</t>
  </si>
  <si>
    <t>Fosfatase alcalina  (U/L)</t>
  </si>
  <si>
    <t>Gama GT  (U/L)</t>
  </si>
  <si>
    <t>Transaminase oxalacética</t>
  </si>
  <si>
    <t>Transaminase oxalacética  (U/L)</t>
  </si>
  <si>
    <t>Transaminase pirúvica</t>
  </si>
  <si>
    <t>Transaminase pirúvica  (U/L)</t>
  </si>
  <si>
    <t>Exames com um único resultado</t>
  </si>
  <si>
    <t>Sem gráfico: só há um ponto no laudo (inclui as dosagens pontuais). A evolução aparece quando houver uma nova coleta.</t>
  </si>
  <si>
    <t>70 a 140</t>
  </si>
  <si>
    <t>pH arterial</t>
  </si>
  <si>
    <t>7,35 a 7,45</t>
  </si>
  <si>
    <t>0,5–1,5% ou 24.000–84.000</t>
  </si>
  <si>
    <t>&lt; 46,0</t>
  </si>
  <si>
    <t>4,5 a 12,3</t>
  </si>
  <si>
    <t>0,60 a 1,71</t>
  </si>
  <si>
    <t>2,30 a 4,20</t>
  </si>
  <si>
    <t>internação</t>
  </si>
  <si>
    <t>cri. CT &lt;170 · HDL &gt;45 · LDL &lt;110</t>
  </si>
  <si>
    <t>0–9 a jejum: &lt; 75</t>
  </si>
  <si>
    <t>4–6 a: 27 a 195</t>
  </si>
  <si>
    <t>ver faixa etária no laudo</t>
  </si>
  <si>
    <t>não reagente &lt; 7,0</t>
  </si>
  <si>
    <t>18,5 a 88,0</t>
  </si>
  <si>
    <t>adultos no laudo: 3,7 a 5,2</t>
  </si>
  <si>
    <t>1–18 a: 5,7 a 8,0</t>
  </si>
  <si>
    <t>pH 7,32–7,43 · HCO3 22–29</t>
  </si>
  <si>
    <t>♀ 5,75 a 18,89</t>
  </si>
  <si>
    <t>11 a 32</t>
  </si>
  <si>
    <t>4,5 a 19,8</t>
  </si>
  <si>
    <t>ver faixas no PDF</t>
  </si>
  <si>
    <t>♀ 4–9 a: até 4,78</t>
  </si>
  <si>
    <t>pré-púbere ≤ 0,30</t>
  </si>
  <si>
    <t>limite inferior do ensaio</t>
  </si>
  <si>
    <t>200 a 360</t>
  </si>
  <si>
    <t>classe 0: &lt; 0,35</t>
  </si>
  <si>
    <t>exame</t>
  </si>
  <si>
    <t>data</t>
  </si>
  <si>
    <t>valor</t>
  </si>
  <si>
    <t>unidade</t>
  </si>
  <si>
    <t>faixa</t>
  </si>
  <si>
    <t>arquivo</t>
  </si>
  <si>
    <t>escolher_row</t>
  </si>
  <si>
    <t>sel_ini</t>
  </si>
  <si>
    <t>sel_fim</t>
  </si>
  <si>
    <t>graf_ini</t>
  </si>
  <si>
    <t>graf_fim</t>
  </si>
  <si>
    <t>Como usar</t>
  </si>
  <si>
    <t>Aba Escolher — clique no quadradinho à esquerda. Marca e desmarca a cada clique.</t>
  </si>
  <si>
    <t>Aba Dados Completo — sempre todas as tabelas, independente das caixinhas. Coluna Arquivo = PDF daquela linha.</t>
  </si>
  <si>
    <t>Aba Dados Selecionados — as tabelas que você marcou. Também tem a coluna Arquivo. Imprimir em paisagem. Precisa habilitar macros.</t>
  </si>
  <si>
    <t>Para imprimir gráficos em retrato: escolha 3 ou 4 por folha e clique Imprimir selecionados ou Imprimir todos.</t>
  </si>
  <si>
    <t>Gráfico só com dois ou mais resultados. Exame com um dado só (ex.: pH, B12, Fator XIII) vai numa tabela no final, sem gráfico.</t>
  </si>
  <si>
    <t>Aba Graficos Completo — exames numéricos. Se o laudo tem faixa, a barra é essa faixa naquela data (verde dentro, vermelho fora). Sem faixa, aparece só a linha do resultado.</t>
  </si>
  <si>
    <t>Aba Graficos Selecionados — os mesmos gráficos, só dos itens marcados. Habilite macros; ela atualiza ao você abrir ela.</t>
  </si>
  <si>
    <t>A faixa muda com a idade (ex.: IGF-1, hemoglobina, leucócitos). Cada ponto usa a faixa daquele laudo.</t>
  </si>
  <si>
    <t>Sem gráfico: o que é qualitativo (urina descritiva, genética, imagens, pezinho, grupo sanguíneo, suor em foto).</t>
  </si>
  <si>
    <t>Valores conferidos nos PDFs da pasta Exames. Não substitui o laudo. Conduta é com o médico.</t>
  </si>
  <si>
    <t>nome</t>
  </si>
  <si>
    <t>linha</t>
  </si>
  <si>
    <t>largura</t>
  </si>
  <si>
    <t>altura</t>
  </si>
  <si>
    <t>G7</t>
  </si>
  <si>
    <t>G25</t>
  </si>
  <si>
    <t>G43</t>
  </si>
  <si>
    <t>G61</t>
  </si>
  <si>
    <t>G79</t>
  </si>
  <si>
    <t>G97</t>
  </si>
  <si>
    <t>G116</t>
  </si>
  <si>
    <t>G135</t>
  </si>
  <si>
    <t>G153</t>
  </si>
  <si>
    <t>G172</t>
  </si>
  <si>
    <t>G190</t>
  </si>
  <si>
    <t>G208</t>
  </si>
  <si>
    <t>G226</t>
  </si>
  <si>
    <t>G244</t>
  </si>
  <si>
    <t>G262</t>
  </si>
  <si>
    <t>G280</t>
  </si>
  <si>
    <t>G298</t>
  </si>
  <si>
    <t>G316</t>
  </si>
  <si>
    <t>G334</t>
  </si>
  <si>
    <t>G352</t>
  </si>
  <si>
    <t>G370</t>
  </si>
  <si>
    <t>G388</t>
  </si>
  <si>
    <t>G406</t>
  </si>
  <si>
    <t>G424</t>
  </si>
  <si>
    <t>G443</t>
  </si>
  <si>
    <t>G461</t>
  </si>
  <si>
    <t>G479</t>
  </si>
  <si>
    <t>G497</t>
  </si>
  <si>
    <t>G515</t>
  </si>
  <si>
    <t>G534</t>
  </si>
  <si>
    <t>G552</t>
  </si>
  <si>
    <t>G570</t>
  </si>
  <si>
    <t>G588</t>
  </si>
  <si>
    <t>G606</t>
  </si>
  <si>
    <t>G624</t>
  </si>
  <si>
    <t>G642</t>
  </si>
  <si>
    <t>G660</t>
  </si>
  <si>
    <t>G678</t>
  </si>
  <si>
    <t>G696</t>
  </si>
  <si>
    <t>G714</t>
  </si>
  <si>
    <t>G732</t>
  </si>
  <si>
    <t>G750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</si>
</sst>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##"/>
  </numFmts>
  <fonts count="15" x14ac:knownFonts="1">
    <font>
      <sz val="11"/>
      <color theme="1"/>
      <name val="Calibri"/>
      <family val="2"/>
      <scheme val="minor"/>
    </font>
    <font>
      <b/>
      <sz val="16"/>
      <color rgb="FF1B4F72"/>
      <name val="Calibri"/>
      <family val="2"/>
      <scheme val="minor"/>
    </font>
    <font>
      <sz val="10"/>
      <color rgb="FF5D6D7E"/>
      <name val="Calibri"/>
      <family val="2"/>
      <scheme val="minor"/>
    </font>
    <font>
      <b/>
      <sz val="11"/>
      <color rgb="FF1B4F72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0"/>
      <color rgb="FF1C2833"/>
      <name val="Calibri"/>
      <family val="2"/>
      <scheme val="minor"/>
    </font>
    <font>
      <sz val="8"/>
      <color rgb="FF5D6D7E"/>
      <name val="Calibri"/>
      <family val="2"/>
      <scheme val="minor"/>
    </font>
    <font>
      <b/>
      <sz val="12"/>
      <color rgb="FF1B4F72"/>
      <name val="Calibri"/>
      <family val="2"/>
      <scheme val="minor"/>
    </font>
    <font>
      <i/>
      <sz val="8"/>
      <color rgb="FF5D6D7E"/>
      <name val="Calibri"/>
      <family val="2"/>
      <scheme val="minor"/>
    </font>
    <font>
      <b/>
      <sz val="8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1C2833"/>
      <name val="Calibri"/>
      <family val="2"/>
      <scheme val="minor"/>
    </font>
    <font>
      <sz val="8"/>
      <color rgb="FF1B4F72"/>
      <name val="Calibri"/>
      <family val="2"/>
      <scheme val="minor"/>
    </font>
    <font>
      <sz val="2"/>
      <color theme="1"/>
      <name val="Calibri"/>
      <family val="2"/>
      <scheme val="minor"/>
    </font>
    <font>
      <sz val="8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BF6EE"/>
        <bgColor indexed="64"/>
      </patternFill>
    </fill>
    <fill>
      <patternFill patternType="solid">
        <fgColor rgb="FF1B4F72"/>
        <bgColor indexed="64"/>
      </patternFill>
    </fill>
    <fill>
      <patternFill patternType="solid">
        <fgColor rgb="FFD4E6F1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F4F6F7"/>
        <bgColor indexed="64"/>
      </patternFill>
    </fill>
  </fills>
  <borders count="2">
    <border>
      <left/>
      <right/>
      <top/>
      <bottom/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4" fillId="3" borderId="0" xfId="0" applyFont="1" applyFill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/>
    <xf numFmtId="0" fontId="9" fillId="3" borderId="0" xfId="0" applyFont="1" applyFill="1" applyAlignment="1">
      <alignment horizontal="left" vertical="center" wrapText="1"/>
    </xf>
    <xf numFmtId="14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14" fontId="10" fillId="6" borderId="1" xfId="0" applyNumberFormat="1" applyFont="1" applyFill="1" applyBorder="1" applyAlignment="1">
      <alignment horizontal="center" vertical="center"/>
    </xf>
    <xf numFmtId="164" fontId="10" fillId="6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vertical="center" wrapText="1"/>
    </xf>
    <xf numFmtId="0" fontId="12" fillId="6" borderId="1" xfId="0" applyFont="1" applyFill="1" applyBorder="1" applyAlignment="1">
      <alignment vertical="center" wrapText="1"/>
    </xf>
    <xf numFmtId="0" fontId="13" fillId="0" borderId="0" xfId="0" applyFont="1"/>
    <xf numFmtId="0" fontId="11" fillId="0" borderId="1" xfId="0" applyFont="1" applyBorder="1" applyAlignment="1">
      <alignment horizontal="left" vertical="top" wrapText="1"/>
    </xf>
    <xf numFmtId="0" fontId="11" fillId="6" borderId="1" xfId="0" applyFont="1" applyFill="1" applyBorder="1" applyAlignment="1">
      <alignment horizontal="left" vertical="top" wrapText="1"/>
    </xf>
    <xf numFmtId="14" fontId="0" fillId="0" borderId="0" xfId="0" applyNumberFormat="1"/>
    <xf numFmtId="0" fontId="0" fillId="0" borderId="0" xfId="0" applyAlignment="1">
      <alignment vertical="top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3" fillId="2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9" fillId="3" borderId="0" xfId="0" applyFont="1" applyFill="1" applyAlignment="1">
      <alignment horizontal="left" vertical="center" wrapText="1"/>
    </xf>
    <xf numFmtId="0" fontId="11" fillId="0" borderId="1" xfId="0" applyFont="1" applyBorder="1" applyAlignment="1">
      <alignment horizontal="left" vertical="top" wrapText="1"/>
    </xf>
    <xf numFmtId="0" fontId="11" fillId="6" borderId="1" xfId="0" applyFont="1" applyFill="1" applyBorder="1" applyAlignment="1">
      <alignment horizontal="left" vertical="top" wrapText="1"/>
    </xf>
    <xf numFmtId="0" fontId="8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CB-408E-BB58-F2E3AA84019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CB-408E-BB58-F2E3AA84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10001"/>
        <c:axId val="500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CB-408E-BB58-F2E3AA84019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CB-408E-BB58-F2E3AA84019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CB-408E-BB58-F2E3AA84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dateAx>
        <c:axId val="5001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10002"/>
        <c:crosses val="autoZero"/>
        <c:auto val="1"/>
        <c:lblOffset val="100"/>
        <c:baseTimeUnit val="months"/>
        <c:majorUnit val="1"/>
        <c:majorTimeUnit val="years"/>
      </c:dateAx>
      <c:valAx>
        <c:axId val="5001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IGFBP-3 - proteína ligadora-3 do IGF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3C-4E5A-BCA6-D30F07498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001"/>
        <c:axId val="50020002"/>
      </c:lineChart>
      <c:dateAx>
        <c:axId val="500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20002"/>
        <c:crosses val="autoZero"/>
        <c:auto val="1"/>
        <c:lblOffset val="100"/>
        <c:baseTimeUnit val="months"/>
        <c:majorUnit val="1"/>
        <c:majorTimeUnit val="years"/>
      </c:dateAx>
      <c:valAx>
        <c:axId val="5002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- hormônio de crescimento (basal)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3-4378-9DFB-67EAC9570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0001"/>
        <c:axId val="50030002"/>
      </c:lineChart>
      <c:dateAx>
        <c:axId val="5003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30002"/>
        <c:crosses val="autoZero"/>
        <c:auto val="1"/>
        <c:lblOffset val="100"/>
        <c:baseTimeUnit val="months"/>
        <c:majorUnit val="6"/>
        <c:majorTimeUnit val="months"/>
      </c:dateAx>
      <c:valAx>
        <c:axId val="5003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6E-478F-A3BB-3DDB6DC8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001"/>
        <c:axId val="50040002"/>
      </c:lineChart>
      <c:catAx>
        <c:axId val="5004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DE-44F4-9DF2-D53B85697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0001"/>
        <c:axId val="50050002"/>
      </c:lineChart>
      <c:catAx>
        <c:axId val="5005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  <c:noMultiLvlLbl val="0"/>
      </c:catAx>
      <c:valAx>
        <c:axId val="5005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C1-4C1A-9813-FA5FFA7AF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001"/>
        <c:axId val="50060002"/>
      </c:lineChart>
      <c:catAx>
        <c:axId val="500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  <c:noMultiLvlLbl val="0"/>
      </c:catAx>
      <c:valAx>
        <c:axId val="5006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1-4C9F-B3F2-A31CE5BB481A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D1-4C9F-B3F2-A31CE5BB4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001"/>
        <c:axId val="50070002"/>
      </c:lineChart>
      <c:dateAx>
        <c:axId val="5007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70002"/>
        <c:crosses val="autoZero"/>
        <c:auto val="1"/>
        <c:lblOffset val="100"/>
        <c:baseTimeUnit val="months"/>
        <c:majorUnit val="6"/>
        <c:majorTimeUnit val="months"/>
      </c:dateAx>
      <c:valAx>
        <c:axId val="5007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7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8-4029-96DE-FA23AFC98E1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F8-4029-96DE-FA23AFC98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80001"/>
        <c:axId val="500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F8-4029-96DE-FA23AFC98E1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F8-4029-96DE-FA23AFC98E1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F8-4029-96DE-FA23AFC98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0001"/>
        <c:axId val="50080002"/>
      </c:lineChart>
      <c:dateAx>
        <c:axId val="500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80002"/>
        <c:crosses val="autoZero"/>
        <c:auto val="1"/>
        <c:lblOffset val="100"/>
        <c:baseTimeUnit val="months"/>
        <c:majorUnit val="1"/>
        <c:majorTimeUnit val="years"/>
      </c:dateAx>
      <c:valAx>
        <c:axId val="5008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DF-4760-8297-E72E7ED85F4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DF-4760-8297-E72E7ED85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90001"/>
        <c:axId val="500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DF-4760-8297-E72E7ED85F4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DF-4760-8297-E72E7ED85F4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DF-4760-8297-E72E7ED85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0001"/>
        <c:axId val="50090002"/>
      </c:lineChart>
      <c:dateAx>
        <c:axId val="5009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90002"/>
        <c:crosses val="autoZero"/>
        <c:auto val="1"/>
        <c:lblOffset val="100"/>
        <c:baseTimeUnit val="months"/>
        <c:majorUnit val="1"/>
        <c:majorTimeUnit val="years"/>
      </c:dateAx>
      <c:valAx>
        <c:axId val="5009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DadosG!$CH$3:$CH$14</c:f>
              <c:numCache>
                <c:formatCode>General</c:formatCode>
                <c:ptCount val="12"/>
                <c:pt idx="0">
                  <c:v>10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A-49E2-8E69-E40376BFBEE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DadosG!$CI$3:$CI$14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3.5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A-49E2-8E69-E40376BFB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00001"/>
        <c:axId val="501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DadosG!$CE$3:$CE$14</c:f>
              <c:numCache>
                <c:formatCode>General</c:formatCode>
                <c:ptCount val="12"/>
                <c:pt idx="0">
                  <c:v>12.3</c:v>
                </c:pt>
                <c:pt idx="1">
                  <c:v>14.7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A-49E2-8E69-E40376BFBEE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DadosG!$CJ$3:$CJ$14</c:f>
              <c:numCache>
                <c:formatCode>General</c:formatCode>
                <c:ptCount val="12"/>
                <c:pt idx="0">
                  <c:v>12.3</c:v>
                </c:pt>
                <c:pt idx="1">
                  <c:v>#N/A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0A-49E2-8E69-E40376BFBEE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DadosG!$CK$3:$CK$14</c:f>
              <c:numCache>
                <c:formatCode>General</c:formatCode>
                <c:ptCount val="12"/>
                <c:pt idx="0">
                  <c:v>#N/A</c:v>
                </c:pt>
                <c:pt idx="1">
                  <c:v>14.7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0A-49E2-8E69-E40376BFB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0001"/>
        <c:axId val="50100002"/>
      </c:lineChart>
      <c:dateAx>
        <c:axId val="501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00002"/>
        <c:crosses val="autoZero"/>
        <c:auto val="1"/>
        <c:lblOffset val="100"/>
        <c:baseTimeUnit val="days"/>
        <c:majorUnit val="1"/>
        <c:majorTimeUnit val="years"/>
      </c:dateAx>
      <c:valAx>
        <c:axId val="50100002"/>
        <c:scaling>
          <c:orientation val="minMax"/>
          <c:max val="15.545999999999999"/>
          <c:min val="9.15399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DadosG!$CQ$3:$CQ$14</c:f>
              <c:numCache>
                <c:formatCode>General</c:formatCode>
                <c:ptCount val="12"/>
                <c:pt idx="0">
                  <c:v>3.2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CD-4D29-8F63-003CD157938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DadosG!$CR$3:$CR$14</c:f>
              <c:numCache>
                <c:formatCode>General</c:formatCode>
                <c:ptCount val="12"/>
                <c:pt idx="0">
                  <c:v>1.3</c:v>
                </c:pt>
                <c:pt idx="1">
                  <c:v>2</c:v>
                </c:pt>
                <c:pt idx="2">
                  <c:v>1.5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CD-4D29-8F63-003CD1579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10001"/>
        <c:axId val="501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DadosG!$CN$3:$CN$14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CD-4D29-8F63-003CD157938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DadosG!$CS$3:$CS$14</c:f>
              <c:numCache>
                <c:formatCode>General</c:formatCode>
                <c:ptCount val="12"/>
                <c:pt idx="0">
                  <c:v>#N/A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CD-4D29-8F63-003CD157938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DadosG!$CT$3:$CT$14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CD-4D29-8F63-003CD1579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0001"/>
        <c:axId val="50110002"/>
      </c:lineChart>
      <c:dateAx>
        <c:axId val="501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10002"/>
        <c:crosses val="autoZero"/>
        <c:auto val="1"/>
        <c:lblOffset val="100"/>
        <c:baseTimeUnit val="days"/>
        <c:majorUnit val="1"/>
        <c:majorTimeUnit val="years"/>
      </c:dateAx>
      <c:valAx>
        <c:axId val="50110002"/>
        <c:scaling>
          <c:orientation val="minMax"/>
          <c:max val="6.15"/>
          <c:min val="2.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10⁶/mm³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DadosG!$CZ$3:$CZ$14</c:f>
              <c:numCache>
                <c:formatCode>General</c:formatCode>
                <c:ptCount val="12"/>
                <c:pt idx="0">
                  <c:v>28</c:v>
                </c:pt>
                <c:pt idx="1">
                  <c:v>32</c:v>
                </c:pt>
                <c:pt idx="2">
                  <c:v>33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3-4982-A406-F3EEDB857CD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DadosG!$DA$3:$DA$14</c:f>
              <c:numCache>
                <c:formatCode>General</c:formatCode>
                <c:ptCount val="12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3-4982-A406-F3EEDB857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20001"/>
        <c:axId val="501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DadosG!$CW$3:$CW$14</c:f>
              <c:numCache>
                <c:formatCode>General</c:formatCode>
                <c:ptCount val="12"/>
                <c:pt idx="0">
                  <c:v>37.5</c:v>
                </c:pt>
                <c:pt idx="1">
                  <c:v>44.2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40.700000000000003</c:v>
                </c:pt>
                <c:pt idx="7">
                  <c:v>38.799999999999997</c:v>
                </c:pt>
                <c:pt idx="8">
                  <c:v>40.5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53-4982-A406-F3EEDB857CD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DadosG!$DB$3:$DB$14</c:f>
              <c:numCache>
                <c:formatCode>General</c:formatCode>
                <c:ptCount val="12"/>
                <c:pt idx="0">
                  <c:v>37.5</c:v>
                </c:pt>
                <c:pt idx="1">
                  <c:v>#N/A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#N/A</c:v>
                </c:pt>
                <c:pt idx="7">
                  <c:v>38.799999999999997</c:v>
                </c:pt>
                <c:pt idx="8">
                  <c:v>#N/A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53-4982-A406-F3EEDB857CD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DadosG!$DC$3:$DC$14</c:f>
              <c:numCache>
                <c:formatCode>General</c:formatCode>
                <c:ptCount val="12"/>
                <c:pt idx="0">
                  <c:v>#N/A</c:v>
                </c:pt>
                <c:pt idx="1">
                  <c:v>44.2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40.700000000000003</c:v>
                </c:pt>
                <c:pt idx="7">
                  <c:v>#N/A</c:v>
                </c:pt>
                <c:pt idx="8">
                  <c:v>40.5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53-4982-A406-F3EEDB857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20001"/>
        <c:axId val="50120002"/>
      </c:lineChart>
      <c:dateAx>
        <c:axId val="501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20002"/>
        <c:crosses val="autoZero"/>
        <c:auto val="1"/>
        <c:lblOffset val="100"/>
        <c:baseTimeUnit val="days"/>
        <c:majorUnit val="1"/>
        <c:majorTimeUnit val="years"/>
      </c:dateAx>
      <c:valAx>
        <c:axId val="50120002"/>
        <c:scaling>
          <c:orientation val="minMax"/>
          <c:max val="47.836000000000006"/>
          <c:min val="20.364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DadosG!$DI$3:$DI$14</c:f>
              <c:numCache>
                <c:formatCode>General</c:formatCode>
                <c:ptCount val="12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F7-48BC-96D2-00780BFFC7A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DadosG!$DJ$3:$DJ$14</c:f>
              <c:numCache>
                <c:formatCode>General</c:formatCode>
                <c:ptCount val="12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F7-48BC-96D2-00780BFF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30001"/>
        <c:axId val="501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DadosG!$DF$3:$DF$14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F7-48BC-96D2-00780BFFC7A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DadosG!$DK$3:$DK$14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F7-48BC-96D2-00780BFFC7A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DadosG!$DL$3:$DL$14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F7-48BC-96D2-00780BFF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0001"/>
        <c:axId val="50130002"/>
      </c:lineChart>
      <c:dateAx>
        <c:axId val="501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30002"/>
        <c:crosses val="autoZero"/>
        <c:auto val="1"/>
        <c:lblOffset val="100"/>
        <c:baseTimeUnit val="days"/>
        <c:majorUnit val="1"/>
        <c:majorTimeUnit val="years"/>
      </c:dateAx>
      <c:valAx>
        <c:axId val="50130002"/>
        <c:scaling>
          <c:orientation val="minMax"/>
          <c:max val="104.68"/>
          <c:min val="69.3199999999999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fL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DadosG!$DR$3:$DR$14</c:f>
              <c:numCache>
                <c:formatCode>General</c:formatCode>
                <c:ptCount val="12"/>
                <c:pt idx="0">
                  <c:v>26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D-4AA9-B4A5-8337FF52FEC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DadosG!$DS$3:$DS$14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D-4AA9-B4A5-8337FF52F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40001"/>
        <c:axId val="501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DadosG!$DO$3:$DO$14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D-4AA9-B4A5-8337FF52FEC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DadosG!$DT$3:$DT$14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D-4AA9-B4A5-8337FF52FEC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DadosG!$DU$3:$DU$14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CD-4AA9-B4A5-8337FF52F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0001"/>
        <c:axId val="50140002"/>
      </c:lineChart>
      <c:dateAx>
        <c:axId val="5014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40002"/>
        <c:crosses val="autoZero"/>
        <c:auto val="1"/>
        <c:lblOffset val="100"/>
        <c:baseTimeUnit val="days"/>
        <c:majorUnit val="1"/>
        <c:majorTimeUnit val="years"/>
      </c:dateAx>
      <c:valAx>
        <c:axId val="50140002"/>
        <c:scaling>
          <c:orientation val="minMax"/>
          <c:max val="35.799999999999997"/>
          <c:min val="22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pg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DadosG!$EA$3:$EA$14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71-40CD-B2B1-21C5B887BDD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DadosG!$EB$3:$EB$14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71-40CD-B2B1-21C5B887B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50001"/>
        <c:axId val="501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DadosG!$DX$3:$DX$14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30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71-40CD-B2B1-21C5B887BDD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DadosG!$EC$3:$EC$14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#N/A</c:v>
                </c:pt>
                <c:pt idx="4">
                  <c:v>#N/A</c:v>
                </c:pt>
                <c:pt idx="5">
                  <c:v>34</c:v>
                </c:pt>
                <c:pt idx="6">
                  <c:v>#N/A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71-40CD-B2B1-21C5B887BDD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DadosG!$ED$3:$ED$14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</c:v>
                </c:pt>
                <c:pt idx="4">
                  <c:v>35</c:v>
                </c:pt>
                <c:pt idx="5">
                  <c:v>#N/A</c:v>
                </c:pt>
                <c:pt idx="6">
                  <c:v>30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71-40CD-B2B1-21C5B887B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0001"/>
        <c:axId val="50150002"/>
      </c:lineChart>
      <c:dateAx>
        <c:axId val="501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50002"/>
        <c:crosses val="autoZero"/>
        <c:auto val="1"/>
        <c:lblOffset val="100"/>
        <c:baseTimeUnit val="days"/>
        <c:majorUnit val="1"/>
        <c:majorTimeUnit val="years"/>
      </c:dateAx>
      <c:valAx>
        <c:axId val="50150002"/>
        <c:scaling>
          <c:orientation val="minMax"/>
          <c:max val="37.08"/>
          <c:min val="28.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DadosG!$EJ$3:$EJ$14</c:f>
              <c:numCache>
                <c:formatCode>General</c:formatCode>
                <c:ptCount val="12"/>
                <c:pt idx="0">
                  <c:v>11.3</c:v>
                </c:pt>
                <c:pt idx="1">
                  <c:v>11.3</c:v>
                </c:pt>
                <c:pt idx="2">
                  <c:v>11.3</c:v>
                </c:pt>
                <c:pt idx="3">
                  <c:v>11.3</c:v>
                </c:pt>
                <c:pt idx="4">
                  <c:v>11.3</c:v>
                </c:pt>
                <c:pt idx="5">
                  <c:v>11.3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3-4E30-B770-115F71A2D0F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DadosG!$EK$3:$EK$14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3.6999999999999988</c:v>
                </c:pt>
                <c:pt idx="4">
                  <c:v>3.6999999999999988</c:v>
                </c:pt>
                <c:pt idx="5">
                  <c:v>3.6999999999999988</c:v>
                </c:pt>
                <c:pt idx="6">
                  <c:v>3.3000000000000012</c:v>
                </c:pt>
                <c:pt idx="7">
                  <c:v>3.3000000000000012</c:v>
                </c:pt>
                <c:pt idx="8">
                  <c:v>3.3000000000000012</c:v>
                </c:pt>
                <c:pt idx="9">
                  <c:v>3.3000000000000012</c:v>
                </c:pt>
                <c:pt idx="10">
                  <c:v>3.3000000000000012</c:v>
                </c:pt>
                <c:pt idx="11">
                  <c:v>3.3000000000000012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3-4E30-B770-115F71A2D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60001"/>
        <c:axId val="501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DadosG!$EG$3:$EG$14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03-4E30-B770-115F71A2D0F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DadosG!$EL$3:$EL$14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03-4E30-B770-115F71A2D0F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DadosG!$EM$3:$EM$14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403-4E30-B770-115F71A2D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0001"/>
        <c:axId val="50160002"/>
      </c:lineChart>
      <c:dateAx>
        <c:axId val="5016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60002"/>
        <c:crosses val="autoZero"/>
        <c:auto val="1"/>
        <c:lblOffset val="100"/>
        <c:baseTimeUnit val="days"/>
        <c:majorUnit val="1"/>
        <c:majorTimeUnit val="years"/>
      </c:dateAx>
      <c:valAx>
        <c:axId val="50160002"/>
        <c:scaling>
          <c:orientation val="minMax"/>
          <c:max val="16.02"/>
          <c:min val="10.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DadosG!$ES$3:$ES$14</c:f>
              <c:numCache>
                <c:formatCode>General</c:formatCode>
                <c:ptCount val="12"/>
                <c:pt idx="0">
                  <c:v>5000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DC-42B6-927C-3CAF66680D0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DadosG!$ET$3:$ET$14</c:f>
              <c:numCache>
                <c:formatCode>General</c:formatCode>
                <c:ptCount val="12"/>
                <c:pt idx="0">
                  <c:v>9500</c:v>
                </c:pt>
                <c:pt idx="1">
                  <c:v>5000</c:v>
                </c:pt>
                <c:pt idx="2">
                  <c:v>5000</c:v>
                </c:pt>
                <c:pt idx="3">
                  <c:v>11500</c:v>
                </c:pt>
                <c:pt idx="4">
                  <c:v>11500</c:v>
                </c:pt>
                <c:pt idx="5">
                  <c:v>11500</c:v>
                </c:pt>
                <c:pt idx="6">
                  <c:v>9500</c:v>
                </c:pt>
                <c:pt idx="7">
                  <c:v>9500</c:v>
                </c:pt>
                <c:pt idx="8">
                  <c:v>9500</c:v>
                </c:pt>
                <c:pt idx="9">
                  <c:v>9500</c:v>
                </c:pt>
                <c:pt idx="10">
                  <c:v>9500</c:v>
                </c:pt>
                <c:pt idx="11">
                  <c:v>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DC-42B6-927C-3CAF666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70001"/>
        <c:axId val="501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DadosG!$EP$3:$EP$14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4310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DC-42B6-927C-3CAF66680D0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DadosG!$EU$3:$EU$14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#N/A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DC-42B6-927C-3CAF66680D0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DadosG!$EV$3:$EV$14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DC-42B6-927C-3CAF666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70001"/>
        <c:axId val="50170002"/>
      </c:lineChart>
      <c:dateAx>
        <c:axId val="501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70002"/>
        <c:crosses val="autoZero"/>
        <c:auto val="1"/>
        <c:lblOffset val="100"/>
        <c:baseTimeUnit val="days"/>
        <c:majorUnit val="1"/>
        <c:majorTimeUnit val="years"/>
      </c:dateAx>
      <c:valAx>
        <c:axId val="50170002"/>
        <c:scaling>
          <c:orientation val="minMax"/>
          <c:max val="19874.2"/>
          <c:min val="1935.8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DadosG!$FB$3:$FB$14</c:f>
              <c:numCache>
                <c:formatCode>General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1500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1-4F7C-B146-A6CD1DFC959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DadosG!$FC$3:$FC$14</c:f>
              <c:numCache>
                <c:formatCode>General</c:formatCode>
                <c:ptCount val="12"/>
                <c:pt idx="0">
                  <c:v>7500</c:v>
                </c:pt>
                <c:pt idx="1">
                  <c:v>7000</c:v>
                </c:pt>
                <c:pt idx="2">
                  <c:v>7000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91-4F7C-B146-A6CD1DFC9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80001"/>
        <c:axId val="501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DadosG!$EY$3:$EY$14</c:f>
              <c:numCache>
                <c:formatCode>General</c:formatCode>
                <c:ptCount val="12"/>
                <c:pt idx="0">
                  <c:v>1270</c:v>
                </c:pt>
                <c:pt idx="1">
                  <c:v>1055</c:v>
                </c:pt>
                <c:pt idx="2">
                  <c:v>1484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91-4F7C-B146-A6CD1DFC959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DadosG!$FD$3:$FD$14</c:f>
              <c:numCache>
                <c:formatCode>General</c:formatCode>
                <c:ptCount val="12"/>
                <c:pt idx="0">
                  <c:v>1270</c:v>
                </c:pt>
                <c:pt idx="1">
                  <c:v>#N/A</c:v>
                </c:pt>
                <c:pt idx="2">
                  <c:v>#N/A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91-4F7C-B146-A6CD1DFC959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DadosG!$FE$3:$FE$14</c:f>
              <c:numCache>
                <c:formatCode>General</c:formatCode>
                <c:ptCount val="12"/>
                <c:pt idx="0">
                  <c:v>#N/A</c:v>
                </c:pt>
                <c:pt idx="1">
                  <c:v>1055</c:v>
                </c:pt>
                <c:pt idx="2">
                  <c:v>1484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91-4F7C-B146-A6CD1DFC9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001"/>
        <c:axId val="50180002"/>
      </c:lineChart>
      <c:dateAx>
        <c:axId val="501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80002"/>
        <c:crosses val="autoZero"/>
        <c:auto val="1"/>
        <c:lblOffset val="100"/>
        <c:baseTimeUnit val="days"/>
        <c:majorUnit val="1"/>
        <c:majorTimeUnit val="years"/>
      </c:dateAx>
      <c:valAx>
        <c:axId val="50180002"/>
        <c:scaling>
          <c:orientation val="minMax"/>
          <c:max val="98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DadosG!$FK$3:$FK$14</c:f>
              <c:numCache>
                <c:formatCode>General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6-4313-8310-70B9EB07501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DadosG!$FL$3:$FL$14</c:f>
              <c:numCache>
                <c:formatCode>General</c:formatCode>
                <c:ptCount val="12"/>
                <c:pt idx="0">
                  <c:v>9500</c:v>
                </c:pt>
                <c:pt idx="1">
                  <c:v>6500</c:v>
                </c:pt>
                <c:pt idx="2">
                  <c:v>5500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5500</c:v>
                </c:pt>
                <c:pt idx="10">
                  <c:v>5500</c:v>
                </c:pt>
                <c:pt idx="11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F6-4313-8310-70B9EB075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90001"/>
        <c:axId val="501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DadosG!$FH$3:$FH$14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1030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6-4313-8310-70B9EB07501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DadosG!$FM$3:$FM$14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#N/A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F6-4313-8310-70B9EB07501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DadosG!$FN$3:$FN$14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F6-4313-8310-70B9EB075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0001"/>
        <c:axId val="50190002"/>
      </c:lineChart>
      <c:dateAx>
        <c:axId val="501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90002"/>
        <c:crosses val="autoZero"/>
        <c:auto val="1"/>
        <c:lblOffset val="100"/>
        <c:baseTimeUnit val="days"/>
        <c:majorUnit val="1"/>
        <c:majorTimeUnit val="years"/>
      </c:dateAx>
      <c:valAx>
        <c:axId val="50190002"/>
        <c:scaling>
          <c:orientation val="minMax"/>
          <c:max val="15744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DadosG!$FT$3:$FT$14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5D-40B2-83C3-A793A743EB9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DadosG!$FU$3:$FU$14</c:f>
              <c:numCache>
                <c:formatCode>General</c:formatCode>
                <c:ptCount val="12"/>
                <c:pt idx="0">
                  <c:v>1020</c:v>
                </c:pt>
                <c:pt idx="1">
                  <c:v>920</c:v>
                </c:pt>
                <c:pt idx="2">
                  <c:v>720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0B2-83C3-A793A743E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00001"/>
        <c:axId val="502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DadosG!$FQ$3:$FQ$14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1420</c:v>
                </c:pt>
                <c:pt idx="9">
                  <c:v>910</c:v>
                </c:pt>
                <c:pt idx="10">
                  <c:v>1030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D-40B2-83C3-A793A743EB9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DadosG!$FV$3:$FV$14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#N/A</c:v>
                </c:pt>
                <c:pt idx="9">
                  <c:v>910</c:v>
                </c:pt>
                <c:pt idx="10">
                  <c:v>#N/A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D-40B2-83C3-A793A743EB9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DadosG!$FW$3:$FW$14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1420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D-40B2-83C3-A793A743E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0001"/>
        <c:axId val="50200002"/>
      </c:lineChart>
      <c:dateAx>
        <c:axId val="502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00002"/>
        <c:crosses val="autoZero"/>
        <c:auto val="1"/>
        <c:lblOffset val="100"/>
        <c:baseTimeUnit val="days"/>
        <c:majorUnit val="1"/>
        <c:majorTimeUnit val="years"/>
      </c:dateAx>
      <c:valAx>
        <c:axId val="50200002"/>
        <c:scaling>
          <c:orientation val="minMax"/>
          <c:max val="166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DadosG!$GC$3:$GC$13</c:f>
              <c:numCache>
                <c:formatCode>General</c:formatCode>
                <c:ptCount val="1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70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BF-410C-BF8E-E59437377DB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DadosG!$GD$3:$GD$13</c:f>
              <c:numCache>
                <c:formatCode>General</c:formatCode>
                <c:ptCount val="11"/>
                <c:pt idx="0">
                  <c:v>810</c:v>
                </c:pt>
                <c:pt idx="1">
                  <c:v>660</c:v>
                </c:pt>
                <c:pt idx="2">
                  <c:v>610</c:v>
                </c:pt>
                <c:pt idx="3">
                  <c:v>580</c:v>
                </c:pt>
                <c:pt idx="4">
                  <c:v>580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F-410C-BF8E-E59437377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10001"/>
        <c:axId val="502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DadosG!$FZ$3:$FZ$13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BF-410C-BF8E-E59437377DB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DadosG!$GE$3:$GE$13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#N/A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BF-410C-BF8E-E59437377DB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DadosG!$GF$3:$GF$13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BF-410C-BF8E-E59437377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10001"/>
        <c:axId val="50210002"/>
      </c:lineChart>
      <c:dateAx>
        <c:axId val="502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10002"/>
        <c:crosses val="autoZero"/>
        <c:auto val="1"/>
        <c:lblOffset val="100"/>
        <c:baseTimeUnit val="days"/>
        <c:majorUnit val="1"/>
        <c:majorTimeUnit val="years"/>
      </c:dateAx>
      <c:valAx>
        <c:axId val="50210002"/>
        <c:scaling>
          <c:orientation val="minMax"/>
          <c:max val="11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DadosG!$GL$3:$GL$8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02-4F75-AB62-6FA51CFCE98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DadosG!$GM$3:$GM$8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02-4F75-AB62-6FA51CFCE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20001"/>
        <c:axId val="502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DadosG!$GI$3:$GI$8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02-4F75-AB62-6FA51CFCE98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DadosG!$GN$3:$GN$8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02-4F75-AB62-6FA51CFCE98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DadosG!$GO$3:$GO$8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02-4F75-AB62-6FA51CFCE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0001"/>
        <c:axId val="50220002"/>
      </c:lineChart>
      <c:dateAx>
        <c:axId val="5022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20002"/>
        <c:crosses val="autoZero"/>
        <c:auto val="1"/>
        <c:lblOffset val="100"/>
        <c:baseTimeUnit val="days"/>
        <c:majorUnit val="6"/>
        <c:majorTimeUnit val="months"/>
      </c:dateAx>
      <c:valAx>
        <c:axId val="50220002"/>
        <c:scaling>
          <c:orientation val="minMax"/>
          <c:max val="23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DadosG!$GU$3:$GU$14</c:f>
              <c:numCache>
                <c:formatCode>General</c:formatCode>
                <c:ptCount val="12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71-4E65-92B9-000A71256EE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DadosG!$GV$3:$GV$14</c:f>
              <c:numCache>
                <c:formatCode>General</c:formatCode>
                <c:ptCount val="12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71-4E65-92B9-000A71256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30001"/>
        <c:axId val="502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DadosG!$GR$3:$GR$14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71-4E65-92B9-000A71256EE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DadosG!$GW$3:$GW$14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71-4E65-92B9-000A71256EE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DadosG!$GX$3:$GX$14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71-4E65-92B9-000A71256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0001"/>
        <c:axId val="50230002"/>
      </c:lineChart>
      <c:dateAx>
        <c:axId val="502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30002"/>
        <c:crosses val="autoZero"/>
        <c:auto val="1"/>
        <c:lblOffset val="100"/>
        <c:baseTimeUnit val="days"/>
        <c:majorUnit val="1"/>
        <c:majorTimeUnit val="years"/>
      </c:dateAx>
      <c:valAx>
        <c:axId val="50230002"/>
        <c:scaling>
          <c:orientation val="minMax"/>
          <c:max val="563000"/>
          <c:min val="87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DadosG!$HD$3:$HD$5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0-4D8F-8AAC-AA765543FF1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DadosG!$HE$3:$HE$5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50-4D8F-8AAC-AA765543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40001"/>
        <c:axId val="502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DadosG!$HA$3:$HA$5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50-4D8F-8AAC-AA765543FF1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DadosG!$HF$3:$HF$5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50-4D8F-8AAC-AA765543FF1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DadosG!$HG$3:$HG$5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50-4D8F-8AAC-AA765543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0001"/>
        <c:axId val="50240002"/>
      </c:lineChart>
      <c:dateAx>
        <c:axId val="50240001"/>
        <c:scaling>
          <c:orientation val="minMax"/>
          <c:max val="46313"/>
          <c:min val="445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40002"/>
        <c:crosses val="autoZero"/>
        <c:auto val="1"/>
        <c:lblOffset val="100"/>
        <c:baseTimeUnit val="days"/>
        <c:majorUnit val="1"/>
        <c:majorTimeUnit val="years"/>
      </c:dateAx>
      <c:valAx>
        <c:axId val="50240002"/>
        <c:scaling>
          <c:orientation val="minMax"/>
          <c:max val="11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DadosG!$HM$3:$HM$6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2-4A03-B1B9-1C51FA105CD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DadosG!$HN$3:$HN$6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2-4A03-B1B9-1C51FA105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50001"/>
        <c:axId val="502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DadosG!$HJ$3:$HJ$6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C2-4A03-B1B9-1C51FA105CD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DadosG!$HO$3:$HO$6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C2-4A03-B1B9-1C51FA105CD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DadosG!$HP$3:$HP$6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C2-4A03-B1B9-1C51FA105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0001"/>
        <c:axId val="50250002"/>
      </c:lineChart>
      <c:dateAx>
        <c:axId val="5025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50002"/>
        <c:crosses val="autoZero"/>
        <c:auto val="1"/>
        <c:lblOffset val="100"/>
        <c:baseTimeUnit val="months"/>
        <c:majorUnit val="6"/>
        <c:majorTimeUnit val="months"/>
      </c:dateAx>
      <c:valAx>
        <c:axId val="5025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DadosG!$HV$3:$HV$5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C0-4E60-B553-04DECB48634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DadosG!$HW$3:$HW$5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C0-4E60-B553-04DECB486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60001"/>
        <c:axId val="502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DadosG!$HS$3:$HS$5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C0-4E60-B553-04DECB48634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DadosG!$HX$3:$HX$5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C0-4E60-B553-04DECB48634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DadosG!$HY$3:$HY$5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C0-4E60-B553-04DECB486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0001"/>
        <c:axId val="50260002"/>
      </c:lineChart>
      <c:dateAx>
        <c:axId val="5026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60002"/>
        <c:crosses val="autoZero"/>
        <c:auto val="1"/>
        <c:lblOffset val="100"/>
        <c:baseTimeUnit val="months"/>
        <c:majorUnit val="6"/>
        <c:majorTimeUnit val="months"/>
      </c:dateAx>
      <c:valAx>
        <c:axId val="5026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DadosG!$IE$3:$IE$4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0-4E13-A537-5D9BF36E330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DadosG!$IF$3:$IF$4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0-4E13-A537-5D9BF36E3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70001"/>
        <c:axId val="502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DadosG!$IB$3:$IB$4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90-4E13-A537-5D9BF36E330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DadosG!$IG$3:$IG$4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90-4E13-A537-5D9BF36E330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DadosG!$IH$3:$IH$4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90-4E13-A537-5D9BF36E3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0001"/>
        <c:axId val="50270002"/>
      </c:lineChart>
      <c:dateAx>
        <c:axId val="5027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70002"/>
        <c:crosses val="autoZero"/>
        <c:auto val="1"/>
        <c:lblOffset val="100"/>
        <c:baseTimeUnit val="months"/>
        <c:majorUnit val="6"/>
        <c:majorTimeUnit val="months"/>
      </c:dateAx>
      <c:valAx>
        <c:axId val="5027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DadosG!$IN$3:$IN$4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BA-4FA4-996F-5CF29E4880F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DadosG!$IO$3:$IO$4</c:f>
              <c:numCache>
                <c:formatCode>General</c:formatCode>
                <c:ptCount val="2"/>
                <c:pt idx="0">
                  <c:v>175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BA-4FA4-996F-5CF29E488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80001"/>
        <c:axId val="502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DadosG!$IK$3:$IK$4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BA-4FA4-996F-5CF29E4880F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DadosG!$IP$3:$IP$4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BA-4FA4-996F-5CF29E4880F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DadosG!$IQ$3:$IQ$4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BA-4FA4-996F-5CF29E488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0001"/>
        <c:axId val="50280002"/>
      </c:lineChart>
      <c:dateAx>
        <c:axId val="50280001"/>
        <c:scaling>
          <c:orientation val="minMax"/>
          <c:max val="46266"/>
          <c:min val="4604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80002"/>
        <c:crosses val="autoZero"/>
        <c:auto val="1"/>
        <c:lblOffset val="100"/>
        <c:baseTimeUnit val="months"/>
        <c:majorUnit val="3"/>
        <c:majorTimeUnit val="months"/>
      </c:dateAx>
      <c:valAx>
        <c:axId val="50280002"/>
        <c:scaling>
          <c:orientation val="minMax"/>
          <c:max val="456.5"/>
          <c:min val="218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DadosG!$IW$3:$IW$5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4-43BE-847A-8EEB45B4997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DadosG!$IX$3:$IX$5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14-43BE-847A-8EEB45B49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90001"/>
        <c:axId val="502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DadosG!$IT$3:$IT$5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14-43BE-847A-8EEB45B4997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DadosG!$IY$3:$IY$5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14-43BE-847A-8EEB45B4997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DadosG!$IZ$3:$IZ$5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14-43BE-847A-8EEB45B49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0001"/>
        <c:axId val="50290002"/>
      </c:lineChart>
      <c:dateAx>
        <c:axId val="5029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90002"/>
        <c:crosses val="autoZero"/>
        <c:auto val="1"/>
        <c:lblOffset val="100"/>
        <c:baseTimeUnit val="years"/>
        <c:majorUnit val="1"/>
        <c:majorTimeUnit val="years"/>
      </c:dateAx>
      <c:valAx>
        <c:axId val="5029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DadosG!$JF$3:$JF$9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69-446D-901E-FF394B4AC8F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DadosG!$JG$3:$JG$9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69-446D-901E-FF394B4AC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00001"/>
        <c:axId val="503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DadosG!$JC$3:$JC$9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69-446D-901E-FF394B4AC8F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DadosG!$JH$3:$JH$9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69-446D-901E-FF394B4AC8F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DadosG!$JI$3:$JI$9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69-446D-901E-FF394B4AC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001"/>
        <c:axId val="50300002"/>
      </c:lineChart>
      <c:dateAx>
        <c:axId val="503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00002"/>
        <c:crosses val="autoZero"/>
        <c:auto val="1"/>
        <c:lblOffset val="100"/>
        <c:baseTimeUnit val="months"/>
        <c:majorUnit val="1"/>
        <c:majorTimeUnit val="years"/>
      </c:dateAx>
      <c:valAx>
        <c:axId val="5030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DadosG!$JO$3:$JO$6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8-4325-8017-07100D02B1B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DadosG!$JP$3:$JP$6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98-4325-8017-07100D02B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10001"/>
        <c:axId val="503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DadosG!$JL$3:$JL$6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98-4325-8017-07100D02B1B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DadosG!$JQ$3:$JQ$6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98-4325-8017-07100D02B1B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DadosG!$JR$3:$JR$6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98-4325-8017-07100D02B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0001"/>
        <c:axId val="50310002"/>
      </c:lineChart>
      <c:dateAx>
        <c:axId val="5031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10002"/>
        <c:crosses val="autoZero"/>
        <c:auto val="1"/>
        <c:lblOffset val="100"/>
        <c:baseTimeUnit val="months"/>
        <c:majorUnit val="6"/>
        <c:majorTimeUnit val="months"/>
      </c:dateAx>
      <c:valAx>
        <c:axId val="5031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AD-48BC-92D6-3C8DA396A2F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AD-48BC-92D6-3C8DA396A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20001"/>
        <c:axId val="503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AD-48BC-92D6-3C8DA396A2F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AD-48BC-92D6-3C8DA396A2F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4AD-48BC-92D6-3C8DA396A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0001"/>
        <c:axId val="50320002"/>
      </c:lineChart>
      <c:dateAx>
        <c:axId val="5032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20002"/>
        <c:crosses val="autoZero"/>
        <c:auto val="1"/>
        <c:lblOffset val="100"/>
        <c:baseTimeUnit val="months"/>
        <c:majorUnit val="6"/>
        <c:majorTimeUnit val="months"/>
      </c:dateAx>
      <c:valAx>
        <c:axId val="5032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D-4BAF-B75A-54DFA49A50C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0.37999999999999989</c:v>
                </c:pt>
                <c:pt idx="1">
                  <c:v>0.17999999999999991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2D-4BAF-B75A-54DFA49A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30001"/>
        <c:axId val="503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2D-4BAF-B75A-54DFA49A50C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2D-4BAF-B75A-54DFA49A50C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2D-4BAF-B75A-54DFA49A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0001"/>
        <c:axId val="50330002"/>
      </c:lineChart>
      <c:dateAx>
        <c:axId val="50330001"/>
        <c:scaling>
          <c:orientation val="minMax"/>
          <c:max val="45627"/>
          <c:min val="44585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30002"/>
        <c:crosses val="autoZero"/>
        <c:auto val="1"/>
        <c:lblOffset val="100"/>
        <c:baseTimeUnit val="months"/>
        <c:majorUnit val="6"/>
        <c:majorTimeUnit val="months"/>
      </c:dateAx>
      <c:valAx>
        <c:axId val="50330002"/>
        <c:scaling>
          <c:orientation val="minMax"/>
          <c:max val="1.5484"/>
          <c:min val="1.0316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mmol/L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DadosG!$KP$3:$KP$5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38-441A-80CF-5347FE085F3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DadosG!$KQ$3:$KQ$5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38-441A-80CF-5347FE085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40001"/>
        <c:axId val="503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DadosG!$KM$3:$KM$5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38-441A-80CF-5347FE085F3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DadosG!$KR$3:$KR$5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38-441A-80CF-5347FE085F3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DadosG!$KS$3:$KS$5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38-441A-80CF-5347FE085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001"/>
        <c:axId val="50340002"/>
      </c:lineChart>
      <c:dateAx>
        <c:axId val="5034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40002"/>
        <c:crosses val="autoZero"/>
        <c:auto val="1"/>
        <c:lblOffset val="100"/>
        <c:baseTimeUnit val="months"/>
        <c:majorUnit val="6"/>
        <c:majorTimeUnit val="months"/>
      </c:dateAx>
      <c:valAx>
        <c:axId val="5034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DadosG!$KY$3:$KY$6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4-4157-8EAE-0327E560BEF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DadosG!$KZ$3:$KZ$6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F4-4157-8EAE-0327E560B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50001"/>
        <c:axId val="503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DadosG!$KV$3:$KV$6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157-8EAE-0327E560BEF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DadosG!$LA$3:$LA$6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157-8EAE-0327E560BEF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DadosG!$LB$3:$LB$6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F4-4157-8EAE-0327E560B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0001"/>
        <c:axId val="50350002"/>
      </c:lineChart>
      <c:dateAx>
        <c:axId val="5035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50002"/>
        <c:crosses val="autoZero"/>
        <c:auto val="1"/>
        <c:lblOffset val="100"/>
        <c:baseTimeUnit val="months"/>
        <c:majorUnit val="1"/>
        <c:majorTimeUnit val="years"/>
      </c:dateAx>
      <c:valAx>
        <c:axId val="5035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DadosG!$LH$3:$LH$4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4B-4EBF-933F-52BED56D7C0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DadosG!$LI$3:$LI$4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4B-4EBF-933F-52BED56D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60001"/>
        <c:axId val="503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DadosG!$LE$3:$LE$4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4B-4EBF-933F-52BED56D7C0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DadosG!$LJ$3:$LJ$4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4B-4EBF-933F-52BED56D7C0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DadosG!$LK$3:$LK$4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4B-4EBF-933F-52BED56D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001"/>
        <c:axId val="50360002"/>
      </c:lineChart>
      <c:dateAx>
        <c:axId val="5036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60002"/>
        <c:crosses val="autoZero"/>
        <c:auto val="1"/>
        <c:lblOffset val="100"/>
        <c:baseTimeUnit val="years"/>
        <c:majorUnit val="1"/>
        <c:majorTimeUnit val="years"/>
      </c:dateAx>
      <c:valAx>
        <c:axId val="5036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DadosG!$LQ$3:$LQ$4</c:f>
              <c:numCache>
                <c:formatCode>General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1E-4977-862F-A5BB5578E42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DadosG!$LR$3:$LR$4</c:f>
              <c:numCache>
                <c:formatCode>General</c:formatCode>
                <c:ptCount val="2"/>
                <c:pt idx="0">
                  <c:v>1.8</c:v>
                </c:pt>
                <c:pt idx="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1E-4977-862F-A5BB5578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70001"/>
        <c:axId val="503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DadosG!$LN$3:$LN$4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1E-4977-862F-A5BB5578E42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DadosG!$LS$3:$LS$4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1E-4977-862F-A5BB5578E42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DadosG!$LT$3:$LT$4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1E-4977-862F-A5BB5578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001"/>
        <c:axId val="50370002"/>
      </c:lineChart>
      <c:dateAx>
        <c:axId val="50370001"/>
        <c:scaling>
          <c:orientation val="minMax"/>
          <c:max val="45632"/>
          <c:min val="4449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70002"/>
        <c:crosses val="autoZero"/>
        <c:auto val="1"/>
        <c:lblOffset val="100"/>
        <c:baseTimeUnit val="months"/>
        <c:majorUnit val="6"/>
        <c:majorTimeUnit val="months"/>
      </c:dateAx>
      <c:valAx>
        <c:axId val="50370002"/>
        <c:scaling>
          <c:orientation val="minMax"/>
          <c:max val="6.524"/>
          <c:min val="4.07600000000000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DadosG!$LZ$3:$LZ$4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4-4CD9-8013-2E21674F0C7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DadosG!$MA$3:$MA$4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4-4CD9-8013-2E21674F0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80001"/>
        <c:axId val="503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DadosG!$LW$3:$LW$4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44-4CD9-8013-2E21674F0C7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DadosG!$MB$3:$MB$4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44-4CD9-8013-2E21674F0C7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DadosG!$MC$3:$MC$4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44-4CD9-8013-2E21674F0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001"/>
        <c:axId val="50380002"/>
      </c:lineChart>
      <c:dateAx>
        <c:axId val="5038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80002"/>
        <c:crosses val="autoZero"/>
        <c:auto val="1"/>
        <c:lblOffset val="100"/>
        <c:baseTimeUnit val="months"/>
        <c:majorUnit val="6"/>
        <c:majorTimeUnit val="months"/>
      </c:dateAx>
      <c:valAx>
        <c:axId val="5038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DadosG!$MI$3:$MI$4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02-467F-A407-667225DB911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DadosG!$MJ$3:$MJ$4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02-467F-A407-667225DB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90001"/>
        <c:axId val="503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DadosG!$MF$3:$MF$4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02-467F-A407-667225DB911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DadosG!$MK$3:$MK$4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02-467F-A407-667225DB911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DadosG!$ML$3:$ML$4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02-467F-A407-667225DB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001"/>
        <c:axId val="50390002"/>
      </c:lineChart>
      <c:dateAx>
        <c:axId val="5039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90002"/>
        <c:crosses val="autoZero"/>
        <c:auto val="1"/>
        <c:lblOffset val="100"/>
        <c:baseTimeUnit val="months"/>
        <c:majorUnit val="6"/>
        <c:majorTimeUnit val="months"/>
      </c:dateAx>
      <c:valAx>
        <c:axId val="5039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DadosG!$MR$3:$MR$4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07-45EF-8653-A4D581505C4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DadosG!$MS$3:$MS$4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07-45EF-8653-A4D581505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00001"/>
        <c:axId val="504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DadosG!$MO$3:$MO$4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07-45EF-8653-A4D581505C4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DadosG!$MT$3:$MT$4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07-45EF-8653-A4D581505C4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DadosG!$MU$3:$MU$4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07-45EF-8653-A4D581505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0001"/>
        <c:axId val="50400002"/>
      </c:lineChart>
      <c:dateAx>
        <c:axId val="5040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00002"/>
        <c:crosses val="autoZero"/>
        <c:auto val="1"/>
        <c:lblOffset val="100"/>
        <c:baseTimeUnit val="months"/>
        <c:majorUnit val="6"/>
        <c:majorTimeUnit val="months"/>
      </c:dateAx>
      <c:valAx>
        <c:axId val="50400002"/>
        <c:scaling>
          <c:orientation val="minMax"/>
          <c:max val="44.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DadosG!$NA$3:$NA$7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74-4AFB-848C-D84C1968857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DadosG!$NB$3:$NB$7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74-4AFB-848C-D84C19688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10001"/>
        <c:axId val="504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DadosG!$MX$3:$MX$7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74-4AFB-848C-D84C1968857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DadosG!$NC$3:$NC$7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74-4AFB-848C-D84C1968857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DadosG!$ND$3:$ND$7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74-4AFB-848C-D84C19688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0001"/>
        <c:axId val="50410002"/>
      </c:lineChart>
      <c:dateAx>
        <c:axId val="5041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10002"/>
        <c:crosses val="autoZero"/>
        <c:auto val="1"/>
        <c:lblOffset val="100"/>
        <c:baseTimeUnit val="months"/>
        <c:majorUnit val="1"/>
        <c:majorTimeUnit val="years"/>
      </c:dateAx>
      <c:valAx>
        <c:axId val="5041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DadosG!$NJ$3:$NJ$7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09-4458-B5DF-53D266E7D83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DadosG!$NK$3:$NK$7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09-4458-B5DF-53D266E7D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20001"/>
        <c:axId val="504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DadosG!$NG$3:$NG$7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09-4458-B5DF-53D266E7D83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DadosG!$NL$3:$NL$7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09-4458-B5DF-53D266E7D83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DadosG!$NM$3:$NM$7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09-4458-B5DF-53D266E7D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0001"/>
        <c:axId val="50420002"/>
      </c:lineChart>
      <c:dateAx>
        <c:axId val="504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20002"/>
        <c:crosses val="autoZero"/>
        <c:auto val="1"/>
        <c:lblOffset val="100"/>
        <c:baseTimeUnit val="months"/>
        <c:majorUnit val="1"/>
        <c:majorTimeUnit val="years"/>
      </c:dateAx>
      <c:valAx>
        <c:axId val="5042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9-4AFD-AF62-47FEBDF3A89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9-4AFD-AF62-47FEBDF3A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30001"/>
        <c:axId val="504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B9-4AFD-AF62-47FEBDF3A89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B9-4AFD-AF62-47FEBDF3A89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B9-4AFD-AF62-47FEBDF3A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0001"/>
        <c:axId val="50430002"/>
      </c:lineChart>
      <c:dateAx>
        <c:axId val="5043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30002"/>
        <c:crosses val="autoZero"/>
        <c:auto val="1"/>
        <c:lblOffset val="100"/>
        <c:baseTimeUnit val="months"/>
        <c:majorUnit val="1"/>
        <c:majorTimeUnit val="years"/>
      </c:dateAx>
      <c:valAx>
        <c:axId val="5043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IGFBP-3 - proteína ligadora-3 do IGF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0E2-A03A-B7D430E4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0001"/>
        <c:axId val="50440002"/>
      </c:lineChart>
      <c:dateAx>
        <c:axId val="5044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40002"/>
        <c:crosses val="autoZero"/>
        <c:auto val="1"/>
        <c:lblOffset val="100"/>
        <c:baseTimeUnit val="months"/>
        <c:majorUnit val="1"/>
        <c:majorTimeUnit val="years"/>
      </c:dateAx>
      <c:valAx>
        <c:axId val="5044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- hormônio de crescimento (basal)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7A-45A4-BA98-ACADEE81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0001"/>
        <c:axId val="50450002"/>
      </c:lineChart>
      <c:dateAx>
        <c:axId val="5045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50002"/>
        <c:crosses val="autoZero"/>
        <c:auto val="1"/>
        <c:lblOffset val="100"/>
        <c:baseTimeUnit val="months"/>
        <c:majorUnit val="6"/>
        <c:majorTimeUnit val="months"/>
      </c:dateAx>
      <c:valAx>
        <c:axId val="5045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B-43FD-AB38-D1B6E68F5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60001"/>
        <c:axId val="50460002"/>
      </c:lineChart>
      <c:catAx>
        <c:axId val="504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60002"/>
        <c:crosses val="autoZero"/>
        <c:auto val="1"/>
        <c:lblAlgn val="ctr"/>
        <c:lblOffset val="100"/>
        <c:noMultiLvlLbl val="0"/>
      </c:catAx>
      <c:valAx>
        <c:axId val="5046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29-48FB-93CE-CAEE588EF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0001"/>
        <c:axId val="50470002"/>
      </c:lineChart>
      <c:catAx>
        <c:axId val="5047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70002"/>
        <c:crosses val="autoZero"/>
        <c:auto val="1"/>
        <c:lblAlgn val="ctr"/>
        <c:lblOffset val="100"/>
        <c:noMultiLvlLbl val="0"/>
      </c:catAx>
      <c:valAx>
        <c:axId val="5047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7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0-4D7A-9F92-075C3C19D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0001"/>
        <c:axId val="50480002"/>
      </c:lineChart>
      <c:catAx>
        <c:axId val="5048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80002"/>
        <c:crosses val="autoZero"/>
        <c:auto val="1"/>
        <c:lblAlgn val="ctr"/>
        <c:lblOffset val="100"/>
        <c:noMultiLvlLbl val="0"/>
      </c:catAx>
      <c:valAx>
        <c:axId val="5048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8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64-450F-BE00-AE7EC99F39AD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64-450F-BE00-AE7EC99F3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0001"/>
        <c:axId val="50490002"/>
      </c:lineChart>
      <c:dateAx>
        <c:axId val="5049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90002"/>
        <c:crosses val="autoZero"/>
        <c:auto val="1"/>
        <c:lblOffset val="100"/>
        <c:baseTimeUnit val="months"/>
        <c:majorUnit val="6"/>
        <c:majorTimeUnit val="months"/>
      </c:dateAx>
      <c:valAx>
        <c:axId val="5049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9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6B-49CB-9BE2-37C182BB73E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6B-49CB-9BE2-37C182BB7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00001"/>
        <c:axId val="505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6B-49CB-9BE2-37C182BB73E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6B-49CB-9BE2-37C182BB73E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6B-49CB-9BE2-37C182BB7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00001"/>
        <c:axId val="50500002"/>
      </c:lineChart>
      <c:dateAx>
        <c:axId val="505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00002"/>
        <c:crosses val="autoZero"/>
        <c:auto val="1"/>
        <c:lblOffset val="100"/>
        <c:baseTimeUnit val="months"/>
        <c:majorUnit val="1"/>
        <c:majorTimeUnit val="years"/>
      </c:dateAx>
      <c:valAx>
        <c:axId val="5050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2-41D3-B33A-34D46849A70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2-41D3-B33A-34D46849A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10001"/>
        <c:axId val="505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72-41D3-B33A-34D46849A70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72-41D3-B33A-34D46849A70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72-41D3-B33A-34D46849A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0001"/>
        <c:axId val="50510002"/>
      </c:lineChart>
      <c:dateAx>
        <c:axId val="5051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10002"/>
        <c:crosses val="autoZero"/>
        <c:auto val="1"/>
        <c:lblOffset val="100"/>
        <c:baseTimeUnit val="months"/>
        <c:majorUnit val="1"/>
        <c:majorTimeUnit val="years"/>
      </c:dateAx>
      <c:valAx>
        <c:axId val="5051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DadosG!$CH$3:$CH$14</c:f>
              <c:numCache>
                <c:formatCode>General</c:formatCode>
                <c:ptCount val="12"/>
                <c:pt idx="0">
                  <c:v>10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CA-42F5-9AA3-DCC103D7D6A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DadosG!$CI$3:$CI$14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3.5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CA-42F5-9AA3-DCC103D7D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20001"/>
        <c:axId val="505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DadosG!$CE$3:$CE$14</c:f>
              <c:numCache>
                <c:formatCode>General</c:formatCode>
                <c:ptCount val="12"/>
                <c:pt idx="0">
                  <c:v>12.3</c:v>
                </c:pt>
                <c:pt idx="1">
                  <c:v>14.7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CA-42F5-9AA3-DCC103D7D6A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DadosG!$CJ$3:$CJ$14</c:f>
              <c:numCache>
                <c:formatCode>General</c:formatCode>
                <c:ptCount val="12"/>
                <c:pt idx="0">
                  <c:v>12.3</c:v>
                </c:pt>
                <c:pt idx="1">
                  <c:v>#N/A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CA-42F5-9AA3-DCC103D7D6A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DadosG!$CK$3:$CK$14</c:f>
              <c:numCache>
                <c:formatCode>General</c:formatCode>
                <c:ptCount val="12"/>
                <c:pt idx="0">
                  <c:v>#N/A</c:v>
                </c:pt>
                <c:pt idx="1">
                  <c:v>14.7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CA-42F5-9AA3-DCC103D7D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0001"/>
        <c:axId val="50520002"/>
      </c:lineChart>
      <c:dateAx>
        <c:axId val="505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20002"/>
        <c:crosses val="autoZero"/>
        <c:auto val="1"/>
        <c:lblOffset val="100"/>
        <c:baseTimeUnit val="days"/>
        <c:majorUnit val="1"/>
        <c:majorTimeUnit val="years"/>
      </c:dateAx>
      <c:valAx>
        <c:axId val="50520002"/>
        <c:scaling>
          <c:orientation val="minMax"/>
          <c:max val="15.545999999999999"/>
          <c:min val="9.15399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DadosG!$CQ$3:$CQ$14</c:f>
              <c:numCache>
                <c:formatCode>General</c:formatCode>
                <c:ptCount val="12"/>
                <c:pt idx="0">
                  <c:v>3.2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10-4623-9B4E-B6FC76F0C81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DadosG!$CR$3:$CR$14</c:f>
              <c:numCache>
                <c:formatCode>General</c:formatCode>
                <c:ptCount val="12"/>
                <c:pt idx="0">
                  <c:v>1.3</c:v>
                </c:pt>
                <c:pt idx="1">
                  <c:v>2</c:v>
                </c:pt>
                <c:pt idx="2">
                  <c:v>1.5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10-4623-9B4E-B6FC76F0C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30001"/>
        <c:axId val="505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DadosG!$CN$3:$CN$14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10-4623-9B4E-B6FC76F0C81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DadosG!$CS$3:$CS$14</c:f>
              <c:numCache>
                <c:formatCode>General</c:formatCode>
                <c:ptCount val="12"/>
                <c:pt idx="0">
                  <c:v>#N/A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10-4623-9B4E-B6FC76F0C81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DadosG!$CT$3:$CT$14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10-4623-9B4E-B6FC76F0C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30001"/>
        <c:axId val="50530002"/>
      </c:lineChart>
      <c:dateAx>
        <c:axId val="505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30002"/>
        <c:crosses val="autoZero"/>
        <c:auto val="1"/>
        <c:lblOffset val="100"/>
        <c:baseTimeUnit val="days"/>
        <c:majorUnit val="1"/>
        <c:majorTimeUnit val="years"/>
      </c:dateAx>
      <c:valAx>
        <c:axId val="50530002"/>
        <c:scaling>
          <c:orientation val="minMax"/>
          <c:max val="6.15"/>
          <c:min val="2.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10⁶/mm³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DadosG!$CZ$3:$CZ$14</c:f>
              <c:numCache>
                <c:formatCode>General</c:formatCode>
                <c:ptCount val="12"/>
                <c:pt idx="0">
                  <c:v>28</c:v>
                </c:pt>
                <c:pt idx="1">
                  <c:v>32</c:v>
                </c:pt>
                <c:pt idx="2">
                  <c:v>33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8F-4B68-A520-F1560310AE1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DadosG!$DA$3:$DA$14</c:f>
              <c:numCache>
                <c:formatCode>General</c:formatCode>
                <c:ptCount val="12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8F-4B68-A520-F1560310A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40001"/>
        <c:axId val="505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DadosG!$CW$3:$CW$14</c:f>
              <c:numCache>
                <c:formatCode>General</c:formatCode>
                <c:ptCount val="12"/>
                <c:pt idx="0">
                  <c:v>37.5</c:v>
                </c:pt>
                <c:pt idx="1">
                  <c:v>44.2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40.700000000000003</c:v>
                </c:pt>
                <c:pt idx="7">
                  <c:v>38.799999999999997</c:v>
                </c:pt>
                <c:pt idx="8">
                  <c:v>40.5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8F-4B68-A520-F1560310AE1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DadosG!$DB$3:$DB$14</c:f>
              <c:numCache>
                <c:formatCode>General</c:formatCode>
                <c:ptCount val="12"/>
                <c:pt idx="0">
                  <c:v>37.5</c:v>
                </c:pt>
                <c:pt idx="1">
                  <c:v>#N/A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#N/A</c:v>
                </c:pt>
                <c:pt idx="7">
                  <c:v>38.799999999999997</c:v>
                </c:pt>
                <c:pt idx="8">
                  <c:v>#N/A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8F-4B68-A520-F1560310AE1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DadosG!$DC$3:$DC$14</c:f>
              <c:numCache>
                <c:formatCode>General</c:formatCode>
                <c:ptCount val="12"/>
                <c:pt idx="0">
                  <c:v>#N/A</c:v>
                </c:pt>
                <c:pt idx="1">
                  <c:v>44.2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40.700000000000003</c:v>
                </c:pt>
                <c:pt idx="7">
                  <c:v>#N/A</c:v>
                </c:pt>
                <c:pt idx="8">
                  <c:v>40.5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8F-4B68-A520-F1560310A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0001"/>
        <c:axId val="50540002"/>
      </c:lineChart>
      <c:dateAx>
        <c:axId val="5054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40002"/>
        <c:crosses val="autoZero"/>
        <c:auto val="1"/>
        <c:lblOffset val="100"/>
        <c:baseTimeUnit val="days"/>
        <c:majorUnit val="1"/>
        <c:majorTimeUnit val="years"/>
      </c:dateAx>
      <c:valAx>
        <c:axId val="50540002"/>
        <c:scaling>
          <c:orientation val="minMax"/>
          <c:max val="47.836000000000006"/>
          <c:min val="20.364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DadosG!$DI$3:$DI$14</c:f>
              <c:numCache>
                <c:formatCode>General</c:formatCode>
                <c:ptCount val="12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DF-461C-80CC-82C186DB005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DadosG!$DJ$3:$DJ$14</c:f>
              <c:numCache>
                <c:formatCode>General</c:formatCode>
                <c:ptCount val="12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DF-461C-80CC-82C186DB0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50001"/>
        <c:axId val="505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DadosG!$DF$3:$DF$14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DF-461C-80CC-82C186DB005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DadosG!$DK$3:$DK$14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DF-461C-80CC-82C186DB005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DadosG!$DL$3:$DL$14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DF-461C-80CC-82C186DB0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0001"/>
        <c:axId val="50550002"/>
      </c:lineChart>
      <c:dateAx>
        <c:axId val="505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50002"/>
        <c:crosses val="autoZero"/>
        <c:auto val="1"/>
        <c:lblOffset val="100"/>
        <c:baseTimeUnit val="days"/>
        <c:majorUnit val="1"/>
        <c:majorTimeUnit val="years"/>
      </c:dateAx>
      <c:valAx>
        <c:axId val="50550002"/>
        <c:scaling>
          <c:orientation val="minMax"/>
          <c:max val="104.68"/>
          <c:min val="69.3199999999999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fL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DadosG!$DR$3:$DR$14</c:f>
              <c:numCache>
                <c:formatCode>General</c:formatCode>
                <c:ptCount val="12"/>
                <c:pt idx="0">
                  <c:v>26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8E-4094-83C5-D5370E184AD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DadosG!$DS$3:$DS$14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8E-4094-83C5-D5370E184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60001"/>
        <c:axId val="505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DadosG!$DO$3:$DO$14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8E-4094-83C5-D5370E184AD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DadosG!$DT$3:$DT$14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8E-4094-83C5-D5370E184AD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DadosG!$DU$3:$DU$14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8E-4094-83C5-D5370E184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0001"/>
        <c:axId val="50560002"/>
      </c:lineChart>
      <c:dateAx>
        <c:axId val="5056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60002"/>
        <c:crosses val="autoZero"/>
        <c:auto val="1"/>
        <c:lblOffset val="100"/>
        <c:baseTimeUnit val="days"/>
        <c:majorUnit val="1"/>
        <c:majorTimeUnit val="years"/>
      </c:dateAx>
      <c:valAx>
        <c:axId val="50560002"/>
        <c:scaling>
          <c:orientation val="minMax"/>
          <c:max val="35.799999999999997"/>
          <c:min val="22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pg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DadosG!$EA$3:$EA$14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3-492D-9150-4251938C56F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DadosG!$EB$3:$EB$14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E3-492D-9150-4251938C5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70001"/>
        <c:axId val="505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DadosG!$DX$3:$DX$14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30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E3-492D-9150-4251938C56F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DadosG!$EC$3:$EC$14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#N/A</c:v>
                </c:pt>
                <c:pt idx="4">
                  <c:v>#N/A</c:v>
                </c:pt>
                <c:pt idx="5">
                  <c:v>34</c:v>
                </c:pt>
                <c:pt idx="6">
                  <c:v>#N/A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E3-492D-9150-4251938C56F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DadosG!$ED$3:$ED$14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</c:v>
                </c:pt>
                <c:pt idx="4">
                  <c:v>35</c:v>
                </c:pt>
                <c:pt idx="5">
                  <c:v>#N/A</c:v>
                </c:pt>
                <c:pt idx="6">
                  <c:v>30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E3-492D-9150-4251938C5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001"/>
        <c:axId val="50570002"/>
      </c:lineChart>
      <c:dateAx>
        <c:axId val="505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70002"/>
        <c:crosses val="autoZero"/>
        <c:auto val="1"/>
        <c:lblOffset val="100"/>
        <c:baseTimeUnit val="days"/>
        <c:majorUnit val="1"/>
        <c:majorTimeUnit val="years"/>
      </c:dateAx>
      <c:valAx>
        <c:axId val="50570002"/>
        <c:scaling>
          <c:orientation val="minMax"/>
          <c:max val="37.08"/>
          <c:min val="28.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DadosG!$EJ$3:$EJ$14</c:f>
              <c:numCache>
                <c:formatCode>General</c:formatCode>
                <c:ptCount val="12"/>
                <c:pt idx="0">
                  <c:v>11.3</c:v>
                </c:pt>
                <c:pt idx="1">
                  <c:v>11.3</c:v>
                </c:pt>
                <c:pt idx="2">
                  <c:v>11.3</c:v>
                </c:pt>
                <c:pt idx="3">
                  <c:v>11.3</c:v>
                </c:pt>
                <c:pt idx="4">
                  <c:v>11.3</c:v>
                </c:pt>
                <c:pt idx="5">
                  <c:v>11.3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B1-4692-82D4-E36FDFB968F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DadosG!$EK$3:$EK$14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3.6999999999999988</c:v>
                </c:pt>
                <c:pt idx="4">
                  <c:v>3.6999999999999988</c:v>
                </c:pt>
                <c:pt idx="5">
                  <c:v>3.6999999999999988</c:v>
                </c:pt>
                <c:pt idx="6">
                  <c:v>3.3000000000000012</c:v>
                </c:pt>
                <c:pt idx="7">
                  <c:v>3.3000000000000012</c:v>
                </c:pt>
                <c:pt idx="8">
                  <c:v>3.3000000000000012</c:v>
                </c:pt>
                <c:pt idx="9">
                  <c:v>3.3000000000000012</c:v>
                </c:pt>
                <c:pt idx="10">
                  <c:v>3.3000000000000012</c:v>
                </c:pt>
                <c:pt idx="11">
                  <c:v>3.3000000000000012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B1-4692-82D4-E36FDFB96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80001"/>
        <c:axId val="505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DadosG!$EG$3:$EG$14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B1-4692-82D4-E36FDFB968F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DadosG!$EL$3:$EL$14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B1-4692-82D4-E36FDFB968F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DadosG!$EM$3:$EM$14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B1-4692-82D4-E36FDFB96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80001"/>
        <c:axId val="50580002"/>
      </c:lineChart>
      <c:dateAx>
        <c:axId val="505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80002"/>
        <c:crosses val="autoZero"/>
        <c:auto val="1"/>
        <c:lblOffset val="100"/>
        <c:baseTimeUnit val="days"/>
        <c:majorUnit val="1"/>
        <c:majorTimeUnit val="years"/>
      </c:dateAx>
      <c:valAx>
        <c:axId val="50580002"/>
        <c:scaling>
          <c:orientation val="minMax"/>
          <c:max val="16.02"/>
          <c:min val="10.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DadosG!$ES$3:$ES$14</c:f>
              <c:numCache>
                <c:formatCode>General</c:formatCode>
                <c:ptCount val="12"/>
                <c:pt idx="0">
                  <c:v>5000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1-436E-942A-911724DD4CC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DadosG!$ET$3:$ET$14</c:f>
              <c:numCache>
                <c:formatCode>General</c:formatCode>
                <c:ptCount val="12"/>
                <c:pt idx="0">
                  <c:v>9500</c:v>
                </c:pt>
                <c:pt idx="1">
                  <c:v>5000</c:v>
                </c:pt>
                <c:pt idx="2">
                  <c:v>5000</c:v>
                </c:pt>
                <c:pt idx="3">
                  <c:v>11500</c:v>
                </c:pt>
                <c:pt idx="4">
                  <c:v>11500</c:v>
                </c:pt>
                <c:pt idx="5">
                  <c:v>11500</c:v>
                </c:pt>
                <c:pt idx="6">
                  <c:v>9500</c:v>
                </c:pt>
                <c:pt idx="7">
                  <c:v>9500</c:v>
                </c:pt>
                <c:pt idx="8">
                  <c:v>9500</c:v>
                </c:pt>
                <c:pt idx="9">
                  <c:v>9500</c:v>
                </c:pt>
                <c:pt idx="10">
                  <c:v>9500</c:v>
                </c:pt>
                <c:pt idx="11">
                  <c:v>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71-436E-942A-911724DD4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90001"/>
        <c:axId val="505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DadosG!$EP$3:$EP$14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4310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71-436E-942A-911724DD4CC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DadosG!$EU$3:$EU$14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#N/A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71-436E-942A-911724DD4CC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DadosG!$EV$3:$EV$14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771-436E-942A-911724DD4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0001"/>
        <c:axId val="50590002"/>
      </c:lineChart>
      <c:dateAx>
        <c:axId val="505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90002"/>
        <c:crosses val="autoZero"/>
        <c:auto val="1"/>
        <c:lblOffset val="100"/>
        <c:baseTimeUnit val="days"/>
        <c:majorUnit val="1"/>
        <c:majorTimeUnit val="years"/>
      </c:dateAx>
      <c:valAx>
        <c:axId val="50590002"/>
        <c:scaling>
          <c:orientation val="minMax"/>
          <c:max val="19874.2"/>
          <c:min val="1935.8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DadosG!$FB$3:$FB$14</c:f>
              <c:numCache>
                <c:formatCode>General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1500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D-49D3-A497-73D466C17A2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DadosG!$FC$3:$FC$14</c:f>
              <c:numCache>
                <c:formatCode>General</c:formatCode>
                <c:ptCount val="12"/>
                <c:pt idx="0">
                  <c:v>7500</c:v>
                </c:pt>
                <c:pt idx="1">
                  <c:v>7000</c:v>
                </c:pt>
                <c:pt idx="2">
                  <c:v>7000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DD-49D3-A497-73D466C17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00001"/>
        <c:axId val="506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DadosG!$EY$3:$EY$14</c:f>
              <c:numCache>
                <c:formatCode>General</c:formatCode>
                <c:ptCount val="12"/>
                <c:pt idx="0">
                  <c:v>1270</c:v>
                </c:pt>
                <c:pt idx="1">
                  <c:v>1055</c:v>
                </c:pt>
                <c:pt idx="2">
                  <c:v>1484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DD-49D3-A497-73D466C17A2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DadosG!$FD$3:$FD$14</c:f>
              <c:numCache>
                <c:formatCode>General</c:formatCode>
                <c:ptCount val="12"/>
                <c:pt idx="0">
                  <c:v>1270</c:v>
                </c:pt>
                <c:pt idx="1">
                  <c:v>#N/A</c:v>
                </c:pt>
                <c:pt idx="2">
                  <c:v>#N/A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DD-49D3-A497-73D466C17A2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DadosG!$FE$3:$FE$14</c:f>
              <c:numCache>
                <c:formatCode>General</c:formatCode>
                <c:ptCount val="12"/>
                <c:pt idx="0">
                  <c:v>#N/A</c:v>
                </c:pt>
                <c:pt idx="1">
                  <c:v>1055</c:v>
                </c:pt>
                <c:pt idx="2">
                  <c:v>1484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DD-49D3-A497-73D466C17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0001"/>
        <c:axId val="50600002"/>
      </c:lineChart>
      <c:dateAx>
        <c:axId val="506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00002"/>
        <c:crosses val="autoZero"/>
        <c:auto val="1"/>
        <c:lblOffset val="100"/>
        <c:baseTimeUnit val="days"/>
        <c:majorUnit val="1"/>
        <c:majorTimeUnit val="years"/>
      </c:dateAx>
      <c:valAx>
        <c:axId val="50600002"/>
        <c:scaling>
          <c:orientation val="minMax"/>
          <c:max val="98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DadosG!$FK$3:$FK$14</c:f>
              <c:numCache>
                <c:formatCode>General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B-4A32-8F07-F9B483979C1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DadosG!$FL$3:$FL$14</c:f>
              <c:numCache>
                <c:formatCode>General</c:formatCode>
                <c:ptCount val="12"/>
                <c:pt idx="0">
                  <c:v>9500</c:v>
                </c:pt>
                <c:pt idx="1">
                  <c:v>6500</c:v>
                </c:pt>
                <c:pt idx="2">
                  <c:v>5500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5500</c:v>
                </c:pt>
                <c:pt idx="10">
                  <c:v>5500</c:v>
                </c:pt>
                <c:pt idx="11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B-4A32-8F07-F9B48397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10001"/>
        <c:axId val="506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DadosG!$FH$3:$FH$14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1030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7B-4A32-8F07-F9B483979C1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DadosG!$FM$3:$FM$14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#N/A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7B-4A32-8F07-F9B483979C1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DadosG!$FN$3:$FN$14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7B-4A32-8F07-F9B48397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0001"/>
        <c:axId val="50610002"/>
      </c:lineChart>
      <c:dateAx>
        <c:axId val="506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10002"/>
        <c:crosses val="autoZero"/>
        <c:auto val="1"/>
        <c:lblOffset val="100"/>
        <c:baseTimeUnit val="days"/>
        <c:majorUnit val="1"/>
        <c:majorTimeUnit val="years"/>
      </c:dateAx>
      <c:valAx>
        <c:axId val="50610002"/>
        <c:scaling>
          <c:orientation val="minMax"/>
          <c:max val="15744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DadosG!$FT$3:$FT$14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B7-4D22-8DF6-1B61D2B86E1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DadosG!$FU$3:$FU$14</c:f>
              <c:numCache>
                <c:formatCode>General</c:formatCode>
                <c:ptCount val="12"/>
                <c:pt idx="0">
                  <c:v>1020</c:v>
                </c:pt>
                <c:pt idx="1">
                  <c:v>920</c:v>
                </c:pt>
                <c:pt idx="2">
                  <c:v>720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B7-4D22-8DF6-1B61D2B86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20001"/>
        <c:axId val="506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DadosG!$FQ$3:$FQ$14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1420</c:v>
                </c:pt>
                <c:pt idx="9">
                  <c:v>910</c:v>
                </c:pt>
                <c:pt idx="10">
                  <c:v>1030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B7-4D22-8DF6-1B61D2B86E1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DadosG!$FV$3:$FV$14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#N/A</c:v>
                </c:pt>
                <c:pt idx="9">
                  <c:v>910</c:v>
                </c:pt>
                <c:pt idx="10">
                  <c:v>#N/A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B7-4D22-8DF6-1B61D2B86E1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DadosG!$FW$3:$FW$14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1420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B7-4D22-8DF6-1B61D2B86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0001"/>
        <c:axId val="50620002"/>
      </c:lineChart>
      <c:dateAx>
        <c:axId val="506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20002"/>
        <c:crosses val="autoZero"/>
        <c:auto val="1"/>
        <c:lblOffset val="100"/>
        <c:baseTimeUnit val="days"/>
        <c:majorUnit val="1"/>
        <c:majorTimeUnit val="years"/>
      </c:dateAx>
      <c:valAx>
        <c:axId val="50620002"/>
        <c:scaling>
          <c:orientation val="minMax"/>
          <c:max val="166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DadosG!$GC$3:$GC$13</c:f>
              <c:numCache>
                <c:formatCode>General</c:formatCode>
                <c:ptCount val="1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70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B13-AB32-66A63471604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DadosG!$GD$3:$GD$13</c:f>
              <c:numCache>
                <c:formatCode>General</c:formatCode>
                <c:ptCount val="11"/>
                <c:pt idx="0">
                  <c:v>810</c:v>
                </c:pt>
                <c:pt idx="1">
                  <c:v>660</c:v>
                </c:pt>
                <c:pt idx="2">
                  <c:v>610</c:v>
                </c:pt>
                <c:pt idx="3">
                  <c:v>580</c:v>
                </c:pt>
                <c:pt idx="4">
                  <c:v>580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A7-4B13-AB32-66A634716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30001"/>
        <c:axId val="506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DadosG!$FZ$3:$FZ$13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A7-4B13-AB32-66A63471604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DadosG!$GE$3:$GE$13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#N/A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A7-4B13-AB32-66A63471604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DadosG!$GF$3:$GF$13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A7-4B13-AB32-66A634716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0001"/>
        <c:axId val="50630002"/>
      </c:lineChart>
      <c:dateAx>
        <c:axId val="506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30002"/>
        <c:crosses val="autoZero"/>
        <c:auto val="1"/>
        <c:lblOffset val="100"/>
        <c:baseTimeUnit val="days"/>
        <c:majorUnit val="1"/>
        <c:majorTimeUnit val="years"/>
      </c:dateAx>
      <c:valAx>
        <c:axId val="50630002"/>
        <c:scaling>
          <c:orientation val="minMax"/>
          <c:max val="11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DadosG!$GL$3:$GL$8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F-44BD-9F0E-02E1848FBC1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DadosG!$GM$3:$GM$8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F-44BD-9F0E-02E1848FB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40001"/>
        <c:axId val="506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DadosG!$GI$3:$GI$8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3F-44BD-9F0E-02E1848FBC1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DadosG!$GN$3:$GN$8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3F-44BD-9F0E-02E1848FBC1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DadosG!$GO$3:$GO$8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3F-44BD-9F0E-02E1848FB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0001"/>
        <c:axId val="50640002"/>
      </c:lineChart>
      <c:dateAx>
        <c:axId val="5064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40002"/>
        <c:crosses val="autoZero"/>
        <c:auto val="1"/>
        <c:lblOffset val="100"/>
        <c:baseTimeUnit val="days"/>
        <c:majorUnit val="6"/>
        <c:majorTimeUnit val="months"/>
      </c:dateAx>
      <c:valAx>
        <c:axId val="50640002"/>
        <c:scaling>
          <c:orientation val="minMax"/>
          <c:max val="23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DadosG!$GU$3:$GU$14</c:f>
              <c:numCache>
                <c:formatCode>General</c:formatCode>
                <c:ptCount val="12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FD-46F7-9EAE-F83A9A6D744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DadosG!$GV$3:$GV$14</c:f>
              <c:numCache>
                <c:formatCode>General</c:formatCode>
                <c:ptCount val="12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FD-46F7-9EAE-F83A9A6D7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50001"/>
        <c:axId val="506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DadosG!$GR$3:$GR$14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FD-46F7-9EAE-F83A9A6D744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DadosG!$GW$3:$GW$14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FD-46F7-9EAE-F83A9A6D744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DadosG!$GX$3:$GX$14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7FD-46F7-9EAE-F83A9A6D7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0001"/>
        <c:axId val="50650002"/>
      </c:lineChart>
      <c:dateAx>
        <c:axId val="506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50002"/>
        <c:crosses val="autoZero"/>
        <c:auto val="1"/>
        <c:lblOffset val="100"/>
        <c:baseTimeUnit val="days"/>
        <c:majorUnit val="1"/>
        <c:majorTimeUnit val="years"/>
      </c:dateAx>
      <c:valAx>
        <c:axId val="50650002"/>
        <c:scaling>
          <c:orientation val="minMax"/>
          <c:max val="563000"/>
          <c:min val="87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DadosG!$HD$3:$HD$5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BF-4927-9605-1AA2C5CB292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DadosG!$HE$3:$HE$5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BF-4927-9605-1AA2C5CB2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60001"/>
        <c:axId val="506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DadosG!$HA$3:$HA$5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BF-4927-9605-1AA2C5CB292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DadosG!$HF$3:$HF$5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BF-4927-9605-1AA2C5CB292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DadosG!$HG$3:$HG$5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BF-4927-9605-1AA2C5CB2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0001"/>
        <c:axId val="50660002"/>
      </c:lineChart>
      <c:dateAx>
        <c:axId val="50660001"/>
        <c:scaling>
          <c:orientation val="minMax"/>
          <c:max val="46313"/>
          <c:min val="445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60002"/>
        <c:crosses val="autoZero"/>
        <c:auto val="1"/>
        <c:lblOffset val="100"/>
        <c:baseTimeUnit val="days"/>
        <c:majorUnit val="1"/>
        <c:majorTimeUnit val="years"/>
      </c:dateAx>
      <c:valAx>
        <c:axId val="50660002"/>
        <c:scaling>
          <c:orientation val="minMax"/>
          <c:max val="11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DadosG!$HM$3:$HM$6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C8-4E6D-9567-AB110BB06FC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DadosG!$HN$3:$HN$6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C8-4E6D-9567-AB110BB06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70001"/>
        <c:axId val="506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DadosG!$HJ$3:$HJ$6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C8-4E6D-9567-AB110BB06FC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DadosG!$HO$3:$HO$6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C8-4E6D-9567-AB110BB06FC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DadosG!$HP$3:$HP$6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C8-4E6D-9567-AB110BB06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0001"/>
        <c:axId val="50670002"/>
      </c:lineChart>
      <c:dateAx>
        <c:axId val="5067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70002"/>
        <c:crosses val="autoZero"/>
        <c:auto val="1"/>
        <c:lblOffset val="100"/>
        <c:baseTimeUnit val="months"/>
        <c:majorUnit val="6"/>
        <c:majorTimeUnit val="months"/>
      </c:dateAx>
      <c:valAx>
        <c:axId val="5067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DadosG!$HV$3:$HV$5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49-4837-B20D-A042F4778EE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DadosG!$HW$3:$HW$5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49-4837-B20D-A042F4778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80001"/>
        <c:axId val="506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DadosG!$HS$3:$HS$5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49-4837-B20D-A042F4778EE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DadosG!$HX$3:$HX$5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49-4837-B20D-A042F4778EE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DadosG!$HY$3:$HY$5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49-4837-B20D-A042F4778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80001"/>
        <c:axId val="50680002"/>
      </c:lineChart>
      <c:dateAx>
        <c:axId val="5068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80002"/>
        <c:crosses val="autoZero"/>
        <c:auto val="1"/>
        <c:lblOffset val="100"/>
        <c:baseTimeUnit val="months"/>
        <c:majorUnit val="6"/>
        <c:majorTimeUnit val="months"/>
      </c:dateAx>
      <c:valAx>
        <c:axId val="5068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DadosG!$IE$3:$IE$4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7-4344-A146-550090688DB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DadosG!$IF$3:$IF$4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67-4344-A146-550090688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90001"/>
        <c:axId val="506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DadosG!$IB$3:$IB$4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7-4344-A146-550090688DB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DadosG!$IG$3:$IG$4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7-4344-A146-550090688DB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DadosG!$IH$3:$IH$4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67-4344-A146-550090688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0001"/>
        <c:axId val="50690002"/>
      </c:lineChart>
      <c:dateAx>
        <c:axId val="5069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90002"/>
        <c:crosses val="autoZero"/>
        <c:auto val="1"/>
        <c:lblOffset val="100"/>
        <c:baseTimeUnit val="months"/>
        <c:majorUnit val="6"/>
        <c:majorTimeUnit val="months"/>
      </c:dateAx>
      <c:valAx>
        <c:axId val="5069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DadosG!$IN$3:$IN$4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DF-4F81-AC98-DF8DFF0A6DC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DadosG!$IO$3:$IO$4</c:f>
              <c:numCache>
                <c:formatCode>General</c:formatCode>
                <c:ptCount val="2"/>
                <c:pt idx="0">
                  <c:v>175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DF-4F81-AC98-DF8DFF0A6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00001"/>
        <c:axId val="507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DadosG!$IK$3:$IK$4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DF-4F81-AC98-DF8DFF0A6DC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DadosG!$IP$3:$IP$4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DF-4F81-AC98-DF8DFF0A6DC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DadosG!$IQ$3:$IQ$4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DF-4F81-AC98-DF8DFF0A6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0001"/>
        <c:axId val="50700002"/>
      </c:lineChart>
      <c:dateAx>
        <c:axId val="50700001"/>
        <c:scaling>
          <c:orientation val="minMax"/>
          <c:max val="46266"/>
          <c:min val="4604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00002"/>
        <c:crosses val="autoZero"/>
        <c:auto val="1"/>
        <c:lblOffset val="100"/>
        <c:baseTimeUnit val="months"/>
        <c:majorUnit val="3"/>
        <c:majorTimeUnit val="months"/>
      </c:dateAx>
      <c:valAx>
        <c:axId val="50700002"/>
        <c:scaling>
          <c:orientation val="minMax"/>
          <c:max val="456.5"/>
          <c:min val="218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DadosG!$IW$3:$IW$5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3-4E89-943B-98A406C3C10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DadosG!$IX$3:$IX$5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83-4E89-943B-98A406C3C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10001"/>
        <c:axId val="507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DadosG!$IT$3:$IT$5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83-4E89-943B-98A406C3C10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DadosG!$IY$3:$IY$5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83-4E89-943B-98A406C3C10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DadosG!$IZ$3:$IZ$5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83-4E89-943B-98A406C3C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0001"/>
        <c:axId val="50710002"/>
      </c:lineChart>
      <c:dateAx>
        <c:axId val="5071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10002"/>
        <c:crosses val="autoZero"/>
        <c:auto val="1"/>
        <c:lblOffset val="100"/>
        <c:baseTimeUnit val="years"/>
        <c:majorUnit val="1"/>
        <c:majorTimeUnit val="years"/>
      </c:dateAx>
      <c:valAx>
        <c:axId val="5071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DadosG!$JF$3:$JF$9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366-914E-975599EA1AB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DadosG!$JG$3:$JG$9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5E-4366-914E-975599EA1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20001"/>
        <c:axId val="507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DadosG!$JC$3:$JC$9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5E-4366-914E-975599EA1AB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DadosG!$JH$3:$JH$9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5E-4366-914E-975599EA1AB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DadosG!$JI$3:$JI$9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5E-4366-914E-975599EA1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0001"/>
        <c:axId val="50720002"/>
      </c:lineChart>
      <c:dateAx>
        <c:axId val="507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20002"/>
        <c:crosses val="autoZero"/>
        <c:auto val="1"/>
        <c:lblOffset val="100"/>
        <c:baseTimeUnit val="months"/>
        <c:majorUnit val="1"/>
        <c:majorTimeUnit val="years"/>
      </c:dateAx>
      <c:valAx>
        <c:axId val="5072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DadosG!$JO$3:$JO$6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BE-4111-AA8A-CB266FE59C6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DadosG!$JP$3:$JP$6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BE-4111-AA8A-CB266FE59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30001"/>
        <c:axId val="507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DadosG!$JL$3:$JL$6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BE-4111-AA8A-CB266FE59C6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DadosG!$JQ$3:$JQ$6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BE-4111-AA8A-CB266FE59C6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DadosG!$JR$3:$JR$6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BE-4111-AA8A-CB266FE59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0001"/>
        <c:axId val="50730002"/>
      </c:lineChart>
      <c:dateAx>
        <c:axId val="5073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30002"/>
        <c:crosses val="autoZero"/>
        <c:auto val="1"/>
        <c:lblOffset val="100"/>
        <c:baseTimeUnit val="months"/>
        <c:majorUnit val="6"/>
        <c:majorTimeUnit val="months"/>
      </c:dateAx>
      <c:valAx>
        <c:axId val="5073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82-49AD-B5E9-210F6D36DA5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82-49AD-B5E9-210F6D36D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40001"/>
        <c:axId val="507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82-49AD-B5E9-210F6D36DA5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82-49AD-B5E9-210F6D36DA5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82-49AD-B5E9-210F6D36D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0001"/>
        <c:axId val="50740002"/>
      </c:lineChart>
      <c:dateAx>
        <c:axId val="5074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40002"/>
        <c:crosses val="autoZero"/>
        <c:auto val="1"/>
        <c:lblOffset val="100"/>
        <c:baseTimeUnit val="months"/>
        <c:majorUnit val="6"/>
        <c:majorTimeUnit val="months"/>
      </c:dateAx>
      <c:valAx>
        <c:axId val="5074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E1-48C7-88AA-A884E106ADB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0.37999999999999989</c:v>
                </c:pt>
                <c:pt idx="1">
                  <c:v>0.17999999999999991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E1-48C7-88AA-A884E106A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50001"/>
        <c:axId val="507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E1-48C7-88AA-A884E106ADB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E1-48C7-88AA-A884E106ADB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E1-48C7-88AA-A884E106A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0001"/>
        <c:axId val="50750002"/>
      </c:lineChart>
      <c:dateAx>
        <c:axId val="50750001"/>
        <c:scaling>
          <c:orientation val="minMax"/>
          <c:max val="45627"/>
          <c:min val="44585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50002"/>
        <c:crosses val="autoZero"/>
        <c:auto val="1"/>
        <c:lblOffset val="100"/>
        <c:baseTimeUnit val="months"/>
        <c:majorUnit val="6"/>
        <c:majorTimeUnit val="months"/>
      </c:dateAx>
      <c:valAx>
        <c:axId val="50750002"/>
        <c:scaling>
          <c:orientation val="minMax"/>
          <c:max val="1.5484"/>
          <c:min val="1.0316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mmol/L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DadosG!$KP$3:$KP$5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A-4006-9251-BF37710DC66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DadosG!$KQ$3:$KQ$5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0A-4006-9251-BF37710DC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60001"/>
        <c:axId val="507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DadosG!$KM$3:$KM$5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0A-4006-9251-BF37710DC66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DadosG!$KR$3:$KR$5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0A-4006-9251-BF37710DC66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DadosG!$KS$3:$KS$5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0A-4006-9251-BF37710DC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0001"/>
        <c:axId val="50760002"/>
      </c:lineChart>
      <c:dateAx>
        <c:axId val="5076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60002"/>
        <c:crosses val="autoZero"/>
        <c:auto val="1"/>
        <c:lblOffset val="100"/>
        <c:baseTimeUnit val="months"/>
        <c:majorUnit val="6"/>
        <c:majorTimeUnit val="months"/>
      </c:dateAx>
      <c:valAx>
        <c:axId val="5076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DadosG!$KY$3:$KY$6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1-4626-9A03-DA22CB790A0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DadosG!$KZ$3:$KZ$6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E1-4626-9A03-DA22CB790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70001"/>
        <c:axId val="507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DadosG!$KV$3:$KV$6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E1-4626-9A03-DA22CB790A0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DadosG!$LA$3:$LA$6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E1-4626-9A03-DA22CB790A0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DadosG!$LB$3:$LB$6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E1-4626-9A03-DA22CB790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0001"/>
        <c:axId val="50770002"/>
      </c:lineChart>
      <c:dateAx>
        <c:axId val="5077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70002"/>
        <c:crosses val="autoZero"/>
        <c:auto val="1"/>
        <c:lblOffset val="100"/>
        <c:baseTimeUnit val="months"/>
        <c:majorUnit val="1"/>
        <c:majorTimeUnit val="years"/>
      </c:dateAx>
      <c:valAx>
        <c:axId val="5077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DadosG!$LH$3:$LH$4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7-4AAA-B944-5B8B4321CBB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DadosG!$LI$3:$LI$4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A7-4AAA-B944-5B8B4321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80001"/>
        <c:axId val="507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DadosG!$LE$3:$LE$4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A7-4AAA-B944-5B8B4321CBB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DadosG!$LJ$3:$LJ$4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A7-4AAA-B944-5B8B4321CBB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DadosG!$LK$3:$LK$4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A7-4AAA-B944-5B8B4321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80001"/>
        <c:axId val="50780002"/>
      </c:lineChart>
      <c:dateAx>
        <c:axId val="507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80002"/>
        <c:crosses val="autoZero"/>
        <c:auto val="1"/>
        <c:lblOffset val="100"/>
        <c:baseTimeUnit val="years"/>
        <c:majorUnit val="1"/>
        <c:majorTimeUnit val="years"/>
      </c:dateAx>
      <c:valAx>
        <c:axId val="5078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DadosG!$LQ$3:$LQ$4</c:f>
              <c:numCache>
                <c:formatCode>General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0D-4319-BDF6-4453813B3D6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DadosG!$LR$3:$LR$4</c:f>
              <c:numCache>
                <c:formatCode>General</c:formatCode>
                <c:ptCount val="2"/>
                <c:pt idx="0">
                  <c:v>1.8</c:v>
                </c:pt>
                <c:pt idx="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0D-4319-BDF6-4453813B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90001"/>
        <c:axId val="507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DadosG!$LN$3:$LN$4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0D-4319-BDF6-4453813B3D6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DadosG!$LS$3:$LS$4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0D-4319-BDF6-4453813B3D6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DadosG!$LT$3:$LT$4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0D-4319-BDF6-4453813B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0001"/>
        <c:axId val="50790002"/>
      </c:lineChart>
      <c:dateAx>
        <c:axId val="50790001"/>
        <c:scaling>
          <c:orientation val="minMax"/>
          <c:max val="45632"/>
          <c:min val="4449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90002"/>
        <c:crosses val="autoZero"/>
        <c:auto val="1"/>
        <c:lblOffset val="100"/>
        <c:baseTimeUnit val="months"/>
        <c:majorUnit val="6"/>
        <c:majorTimeUnit val="months"/>
      </c:dateAx>
      <c:valAx>
        <c:axId val="50790002"/>
        <c:scaling>
          <c:orientation val="minMax"/>
          <c:max val="6.524"/>
          <c:min val="4.07600000000000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DadosG!$LZ$3:$LZ$4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C-4F13-887F-98D36E3BC5A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DadosG!$MA$3:$MA$4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5C-4F13-887F-98D36E3BC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00001"/>
        <c:axId val="508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DadosG!$LW$3:$LW$4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C-4F13-887F-98D36E3BC5A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DadosG!$MB$3:$MB$4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5C-4F13-887F-98D36E3BC5A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DadosG!$MC$3:$MC$4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5C-4F13-887F-98D36E3BC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0001"/>
        <c:axId val="50800002"/>
      </c:lineChart>
      <c:dateAx>
        <c:axId val="5080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00002"/>
        <c:crosses val="autoZero"/>
        <c:auto val="1"/>
        <c:lblOffset val="100"/>
        <c:baseTimeUnit val="months"/>
        <c:majorUnit val="6"/>
        <c:majorTimeUnit val="months"/>
      </c:dateAx>
      <c:valAx>
        <c:axId val="5080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DadosG!$MI$3:$MI$4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1-4830-9540-3DB570E51D7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DadosG!$MJ$3:$MJ$4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91-4830-9540-3DB570E51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10001"/>
        <c:axId val="508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DadosG!$MF$3:$MF$4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91-4830-9540-3DB570E51D7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DadosG!$MK$3:$MK$4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91-4830-9540-3DB570E51D7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DadosG!$ML$3:$ML$4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91-4830-9540-3DB570E51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0001"/>
        <c:axId val="50810002"/>
      </c:lineChart>
      <c:dateAx>
        <c:axId val="5081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10002"/>
        <c:crosses val="autoZero"/>
        <c:auto val="1"/>
        <c:lblOffset val="100"/>
        <c:baseTimeUnit val="months"/>
        <c:majorUnit val="6"/>
        <c:majorTimeUnit val="months"/>
      </c:dateAx>
      <c:valAx>
        <c:axId val="5081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DadosG!$MR$3:$MR$4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A-434D-8936-7454A1DA8FB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DadosG!$MS$3:$MS$4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1A-434D-8936-7454A1DA8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20001"/>
        <c:axId val="508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DadosG!$MO$3:$MO$4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A-434D-8936-7454A1DA8FB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DadosG!$MT$3:$MT$4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A-434D-8936-7454A1DA8FB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DadosG!$MU$3:$MU$4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A-434D-8936-7454A1DA8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0001"/>
        <c:axId val="50820002"/>
      </c:lineChart>
      <c:dateAx>
        <c:axId val="5082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20002"/>
        <c:crosses val="autoZero"/>
        <c:auto val="1"/>
        <c:lblOffset val="100"/>
        <c:baseTimeUnit val="months"/>
        <c:majorUnit val="6"/>
        <c:majorTimeUnit val="months"/>
      </c:dateAx>
      <c:valAx>
        <c:axId val="50820002"/>
        <c:scaling>
          <c:orientation val="minMax"/>
          <c:max val="44.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DadosG!$NA$3:$NA$7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A-4FCA-BA19-EEE68E2543C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DadosG!$NB$3:$NB$7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0A-4FCA-BA19-EEE68E254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30001"/>
        <c:axId val="508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DadosG!$MX$3:$MX$7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0A-4FCA-BA19-EEE68E2543C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DadosG!$NC$3:$NC$7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0A-4FCA-BA19-EEE68E2543C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DadosG!$ND$3:$ND$7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0A-4FCA-BA19-EEE68E254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0001"/>
        <c:axId val="50830002"/>
      </c:lineChart>
      <c:dateAx>
        <c:axId val="5083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30002"/>
        <c:crosses val="autoZero"/>
        <c:auto val="1"/>
        <c:lblOffset val="100"/>
        <c:baseTimeUnit val="months"/>
        <c:majorUnit val="1"/>
        <c:majorTimeUnit val="years"/>
      </c:dateAx>
      <c:valAx>
        <c:axId val="5083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DadosG!$NJ$3:$NJ$7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D-4D80-884E-F6A691BC880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DadosG!$NK$3:$NK$7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D-4D80-884E-F6A691BC8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40001"/>
        <c:axId val="508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DadosG!$NG$3:$NG$7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1D-4D80-884E-F6A691BC880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DadosG!$NL$3:$NL$7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1D-4D80-884E-F6A691BC880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DadosG!$NM$3:$NM$7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1D-4D80-884E-F6A691BC8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40001"/>
        <c:axId val="50840002"/>
      </c:lineChart>
      <c:dateAx>
        <c:axId val="5084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40002"/>
        <c:crosses val="autoZero"/>
        <c:auto val="1"/>
        <c:lblOffset val="100"/>
        <c:baseTimeUnit val="months"/>
        <c:majorUnit val="1"/>
        <c:majorTimeUnit val="years"/>
      </c:dateAx>
      <c:valAx>
        <c:axId val="5084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 baseline="0"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B6" lockText="1" noThreeD="1"/>
</file>

<file path=xl/ctrlProps/ctrlProp2.xml><?xml version="1.0" encoding="utf-8"?>
<formControlPr xmlns="http://schemas.microsoft.com/office/spreadsheetml/2009/9/main" objectType="CheckBox" fmlaLink="B7" lockText="1" noThreeD="1"/>
</file>

<file path=xl/ctrlProps/ctrlProp3.xml><?xml version="1.0" encoding="utf-8"?>
<formControlPr xmlns="http://schemas.microsoft.com/office/spreadsheetml/2009/9/main" objectType="CheckBox" fmlaLink="B8" lockText="1" noThreeD="1"/>
</file>

<file path=xl/ctrlProps/ctrlProp4.xml><?xml version="1.0" encoding="utf-8"?>
<formControlPr xmlns="http://schemas.microsoft.com/office/spreadsheetml/2009/9/main" objectType="CheckBox" fmlaLink="B9" lockText="1" noThreeD="1"/>
</file>

<file path=xl/ctrlProps/ctrlProp5.xml><?xml version="1.0" encoding="utf-8"?>
<formControlPr xmlns="http://schemas.microsoft.com/office/spreadsheetml/2009/9/main" objectType="CheckBox" fmlaLink="B10" lockText="1" noThreeD="1"/>
</file>

<file path=xl/ctrlProps/ctrlProp6.xml><?xml version="1.0" encoding="utf-8"?>
<formControlPr xmlns="http://schemas.microsoft.com/office/spreadsheetml/2009/9/main" objectType="CheckBox" fmlaLink="B11" lockText="1" noThreeD="1"/>
</file>

<file path=xl/ctrlProps/ctrlProp7.xml><?xml version="1.0" encoding="utf-8"?>
<formControlPr xmlns="http://schemas.microsoft.com/office/spreadsheetml/2009/9/main" objectType="CheckBox" fmlaLink="B12" lockText="1" noThreeD="1"/>
</file>

<file path=xl/ctrlProps/ctrlProp8.xml><?xml version="1.0" encoding="utf-8"?>
<formControlPr xmlns="http://schemas.microsoft.com/office/spreadsheetml/2009/9/main" objectType="CheckBox" fmlaLink="B13" lockText="1" noThreeD="1"/>
</file>

<file path=xl/ctrlProps/ctrlProp9.xml><?xml version="1.0" encoding="utf-8"?>
<formControlPr xmlns="http://schemas.microsoft.com/office/spreadsheetml/2009/9/main" objectType="CheckBox" fmlaLink="B14" lockText="1" noThreeD="1"/>
</file>

<file path=xl/ctrlProps/ctrlProp10.xml><?xml version="1.0" encoding="utf-8"?>
<formControlPr xmlns="http://schemas.microsoft.com/office/spreadsheetml/2009/9/main" objectType="CheckBox" fmlaLink="B15" lockText="1" noThreeD="1"/>
</file>

<file path=xl/ctrlProps/ctrlProp11.xml><?xml version="1.0" encoding="utf-8"?>
<formControlPr xmlns="http://schemas.microsoft.com/office/spreadsheetml/2009/9/main" objectType="CheckBox" fmlaLink="B16" lockText="1" noThreeD="1"/>
</file>

<file path=xl/ctrlProps/ctrlProp12.xml><?xml version="1.0" encoding="utf-8"?>
<formControlPr xmlns="http://schemas.microsoft.com/office/spreadsheetml/2009/9/main" objectType="CheckBox" fmlaLink="B17" lockText="1" noThreeD="1"/>
</file>

<file path=xl/ctrlProps/ctrlProp13.xml><?xml version="1.0" encoding="utf-8"?>
<formControlPr xmlns="http://schemas.microsoft.com/office/spreadsheetml/2009/9/main" objectType="CheckBox" fmlaLink="B18" lockText="1" noThreeD="1"/>
</file>

<file path=xl/ctrlProps/ctrlProp14.xml><?xml version="1.0" encoding="utf-8"?>
<formControlPr xmlns="http://schemas.microsoft.com/office/spreadsheetml/2009/9/main" objectType="CheckBox" fmlaLink="B19" lockText="1" noThreeD="1"/>
</file>

<file path=xl/ctrlProps/ctrlProp15.xml><?xml version="1.0" encoding="utf-8"?>
<formControlPr xmlns="http://schemas.microsoft.com/office/spreadsheetml/2009/9/main" objectType="CheckBox" fmlaLink="B20" lockText="1" noThreeD="1"/>
</file>

<file path=xl/ctrlProps/ctrlProp16.xml><?xml version="1.0" encoding="utf-8"?>
<formControlPr xmlns="http://schemas.microsoft.com/office/spreadsheetml/2009/9/main" objectType="CheckBox" fmlaLink="B21" lockText="1" noThreeD="1"/>
</file>

<file path=xl/ctrlProps/ctrlProp17.xml><?xml version="1.0" encoding="utf-8"?>
<formControlPr xmlns="http://schemas.microsoft.com/office/spreadsheetml/2009/9/main" objectType="CheckBox" fmlaLink="B22" lockText="1" noThreeD="1"/>
</file>

<file path=xl/ctrlProps/ctrlProp18.xml><?xml version="1.0" encoding="utf-8"?>
<formControlPr xmlns="http://schemas.microsoft.com/office/spreadsheetml/2009/9/main" objectType="CheckBox" fmlaLink="B23" lockText="1" noThreeD="1"/>
</file>

<file path=xl/ctrlProps/ctrlProp19.xml><?xml version="1.0" encoding="utf-8"?>
<formControlPr xmlns="http://schemas.microsoft.com/office/spreadsheetml/2009/9/main" objectType="CheckBox" fmlaLink="B24" lockText="1" noThreeD="1"/>
</file>

<file path=xl/ctrlProps/ctrlProp20.xml><?xml version="1.0" encoding="utf-8"?>
<formControlPr xmlns="http://schemas.microsoft.com/office/spreadsheetml/2009/9/main" objectType="CheckBox" fmlaLink="B25" lockText="1" noThreeD="1"/>
</file>

<file path=xl/ctrlProps/ctrlProp21.xml><?xml version="1.0" encoding="utf-8"?>
<formControlPr xmlns="http://schemas.microsoft.com/office/spreadsheetml/2009/9/main" objectType="CheckBox" fmlaLink="B26" lockText="1" noThreeD="1"/>
</file>

<file path=xl/ctrlProps/ctrlProp22.xml><?xml version="1.0" encoding="utf-8"?>
<formControlPr xmlns="http://schemas.microsoft.com/office/spreadsheetml/2009/9/main" objectType="CheckBox" fmlaLink="B27" lockText="1" noThreeD="1"/>
</file>

<file path=xl/ctrlProps/ctrlProp23.xml><?xml version="1.0" encoding="utf-8"?>
<formControlPr xmlns="http://schemas.microsoft.com/office/spreadsheetml/2009/9/main" objectType="CheckBox" fmlaLink="B28" lockText="1" noThreeD="1"/>
</file>

<file path=xl/ctrlProps/ctrlProp24.xml><?xml version="1.0" encoding="utf-8"?>
<formControlPr xmlns="http://schemas.microsoft.com/office/spreadsheetml/2009/9/main" objectType="CheckBox" fmlaLink="B29" lockText="1" noThreeD="1"/>
</file>

<file path=xl/ctrlProps/ctrlProp25.xml><?xml version="1.0" encoding="utf-8"?>
<formControlPr xmlns="http://schemas.microsoft.com/office/spreadsheetml/2009/9/main" objectType="CheckBox" fmlaLink="B30" lockText="1" noThreeD="1"/>
</file>

<file path=xl/ctrlProps/ctrlProp26.xml><?xml version="1.0" encoding="utf-8"?>
<formControlPr xmlns="http://schemas.microsoft.com/office/spreadsheetml/2009/9/main" objectType="CheckBox" fmlaLink="B31" lockText="1" noThreeD="1"/>
</file>

<file path=xl/ctrlProps/ctrlProp27.xml><?xml version="1.0" encoding="utf-8"?>
<formControlPr xmlns="http://schemas.microsoft.com/office/spreadsheetml/2009/9/main" objectType="CheckBox" fmlaLink="B32" lockText="1" noThreeD="1"/>
</file>

<file path=xl/ctrlProps/ctrlProp28.xml><?xml version="1.0" encoding="utf-8"?>
<formControlPr xmlns="http://schemas.microsoft.com/office/spreadsheetml/2009/9/main" objectType="CheckBox" fmlaLink="B33" lockText="1" noThreeD="1"/>
</file>

<file path=xl/ctrlProps/ctrlProp29.xml><?xml version="1.0" encoding="utf-8"?>
<formControlPr xmlns="http://schemas.microsoft.com/office/spreadsheetml/2009/9/main" objectType="CheckBox" fmlaLink="B34" lockText="1" noThreeD="1"/>
</file>

<file path=xl/ctrlProps/ctrlProp30.xml><?xml version="1.0" encoding="utf-8"?>
<formControlPr xmlns="http://schemas.microsoft.com/office/spreadsheetml/2009/9/main" objectType="CheckBox" fmlaLink="B35" lockText="1" noThreeD="1"/>
</file>

<file path=xl/ctrlProps/ctrlProp31.xml><?xml version="1.0" encoding="utf-8"?>
<formControlPr xmlns="http://schemas.microsoft.com/office/spreadsheetml/2009/9/main" objectType="CheckBox" fmlaLink="B36" lockText="1" noThreeD="1"/>
</file>

<file path=xl/ctrlProps/ctrlProp32.xml><?xml version="1.0" encoding="utf-8"?>
<formControlPr xmlns="http://schemas.microsoft.com/office/spreadsheetml/2009/9/main" objectType="CheckBox" fmlaLink="B37" lockText="1" noThreeD="1"/>
</file>

<file path=xl/ctrlProps/ctrlProp33.xml><?xml version="1.0" encoding="utf-8"?>
<formControlPr xmlns="http://schemas.microsoft.com/office/spreadsheetml/2009/9/main" objectType="CheckBox" fmlaLink="B38" lockText="1" noThreeD="1"/>
</file>

<file path=xl/ctrlProps/ctrlProp34.xml><?xml version="1.0" encoding="utf-8"?>
<formControlPr xmlns="http://schemas.microsoft.com/office/spreadsheetml/2009/9/main" objectType="CheckBox" fmlaLink="B39" lockText="1" noThreeD="1"/>
</file>

<file path=xl/ctrlProps/ctrlProp35.xml><?xml version="1.0" encoding="utf-8"?>
<formControlPr xmlns="http://schemas.microsoft.com/office/spreadsheetml/2009/9/main" objectType="CheckBox" fmlaLink="B40" lockText="1" noThreeD="1"/>
</file>

<file path=xl/ctrlProps/ctrlProp36.xml><?xml version="1.0" encoding="utf-8"?>
<formControlPr xmlns="http://schemas.microsoft.com/office/spreadsheetml/2009/9/main" objectType="CheckBox" fmlaLink="B41" lockText="1" noThreeD="1"/>
</file>

<file path=xl/ctrlProps/ctrlProp37.xml><?xml version="1.0" encoding="utf-8"?>
<formControlPr xmlns="http://schemas.microsoft.com/office/spreadsheetml/2009/9/main" objectType="CheckBox" fmlaLink="B42" lockText="1" noThreeD="1"/>
</file>

<file path=xl/ctrlProps/ctrlProp38.xml><?xml version="1.0" encoding="utf-8"?>
<formControlPr xmlns="http://schemas.microsoft.com/office/spreadsheetml/2009/9/main" objectType="CheckBox" fmlaLink="B43" lockText="1" noThreeD="1"/>
</file>

<file path=xl/ctrlProps/ctrlProp39.xml><?xml version="1.0" encoding="utf-8"?>
<formControlPr xmlns="http://schemas.microsoft.com/office/spreadsheetml/2009/9/main" objectType="CheckBox" fmlaLink="B44" lockText="1" noThreeD="1"/>
</file>

<file path=xl/ctrlProps/ctrlProp40.xml><?xml version="1.0" encoding="utf-8"?>
<formControlPr xmlns="http://schemas.microsoft.com/office/spreadsheetml/2009/9/main" objectType="CheckBox" fmlaLink="B45" lockText="1" noThreeD="1"/>
</file>

<file path=xl/ctrlProps/ctrlProp41.xml><?xml version="1.0" encoding="utf-8"?>
<formControlPr xmlns="http://schemas.microsoft.com/office/spreadsheetml/2009/9/main" objectType="CheckBox" fmlaLink="B46" lockText="1" noThreeD="1"/>
</file>

<file path=xl/ctrlProps/ctrlProp42.xml><?xml version="1.0" encoding="utf-8"?>
<formControlPr xmlns="http://schemas.microsoft.com/office/spreadsheetml/2009/9/main" objectType="CheckBox" fmlaLink="B47" lockText="1" noThreeD="1"/>
</file>

<file path=xl/ctrlProps/ctrlProp43.xml><?xml version="1.0" encoding="utf-8"?>
<formControlPr xmlns="http://schemas.microsoft.com/office/spreadsheetml/2009/9/main" objectType="CheckBox" fmlaLink="B48" lockText="1" noThreeD="1"/>
</file>

<file path=xl/ctrlProps/ctrlProp44.xml><?xml version="1.0" encoding="utf-8"?>
<formControlPr xmlns="http://schemas.microsoft.com/office/spreadsheetml/2009/9/main" objectType="CheckBox" fmlaLink="B49" lockText="1" noThreeD="1"/>
</file>

<file path=xl/ctrlProps/ctrlProp45.xml><?xml version="1.0" encoding="utf-8"?>
<formControlPr xmlns="http://schemas.microsoft.com/office/spreadsheetml/2009/9/main" objectType="CheckBox" fmlaLink="B50" lockText="1" noThreeD="1"/>
</file>

<file path=xl/ctrlProps/ctrlProp46.xml><?xml version="1.0" encoding="utf-8"?>
<formControlPr xmlns="http://schemas.microsoft.com/office/spreadsheetml/2009/9/main" objectType="CheckBox" fmlaLink="B51" lockText="1" noThreeD="1"/>
</file>

<file path=xl/ctrlProps/ctrlProp47.xml><?xml version="1.0" encoding="utf-8"?>
<formControlPr xmlns="http://schemas.microsoft.com/office/spreadsheetml/2009/9/main" objectType="CheckBox" fmlaLink="B52" lockText="1" noThreeD="1"/>
</file>

<file path=xl/ctrlProps/ctrlProp48.xml><?xml version="1.0" encoding="utf-8"?>
<formControlPr xmlns="http://schemas.microsoft.com/office/spreadsheetml/2009/9/main" objectType="CheckBox" fmlaLink="B53" lockText="1" noThreeD="1"/>
</file>

<file path=xl/ctrlProps/ctrlProp49.xml><?xml version="1.0" encoding="utf-8"?>
<formControlPr xmlns="http://schemas.microsoft.com/office/spreadsheetml/2009/9/main" objectType="CheckBox" fmlaLink="B54" lockText="1" noThreeD="1"/>
</file>

<file path=xl/ctrlProps/ctrlProp50.xml><?xml version="1.0" encoding="utf-8"?>
<formControlPr xmlns="http://schemas.microsoft.com/office/spreadsheetml/2009/9/main" objectType="CheckBox" fmlaLink="B55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Radio" checked="Checked" firstButton="1" fmlaLink="$H$3" lockText="1" noThreeD="1"/>
</file>

<file path=xl/ctrlProps/ctrlProp54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26" Type="http://schemas.openxmlformats.org/officeDocument/2006/relationships/chart" Target="../charts/chart68.xml"/><Relationship Id="rId39" Type="http://schemas.openxmlformats.org/officeDocument/2006/relationships/chart" Target="../charts/chart81.xml"/><Relationship Id="rId21" Type="http://schemas.openxmlformats.org/officeDocument/2006/relationships/chart" Target="../charts/chart63.xml"/><Relationship Id="rId34" Type="http://schemas.openxmlformats.org/officeDocument/2006/relationships/chart" Target="../charts/chart76.xml"/><Relationship Id="rId42" Type="http://schemas.openxmlformats.org/officeDocument/2006/relationships/chart" Target="../charts/chart84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29" Type="http://schemas.openxmlformats.org/officeDocument/2006/relationships/chart" Target="../charts/chart71.xml"/><Relationship Id="rId41" Type="http://schemas.openxmlformats.org/officeDocument/2006/relationships/chart" Target="../charts/chart83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24" Type="http://schemas.openxmlformats.org/officeDocument/2006/relationships/chart" Target="../charts/chart66.xml"/><Relationship Id="rId32" Type="http://schemas.openxmlformats.org/officeDocument/2006/relationships/chart" Target="../charts/chart74.xml"/><Relationship Id="rId37" Type="http://schemas.openxmlformats.org/officeDocument/2006/relationships/chart" Target="../charts/chart79.xml"/><Relationship Id="rId40" Type="http://schemas.openxmlformats.org/officeDocument/2006/relationships/chart" Target="../charts/chart82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23" Type="http://schemas.openxmlformats.org/officeDocument/2006/relationships/chart" Target="../charts/chart65.xml"/><Relationship Id="rId28" Type="http://schemas.openxmlformats.org/officeDocument/2006/relationships/chart" Target="../charts/chart70.xml"/><Relationship Id="rId36" Type="http://schemas.openxmlformats.org/officeDocument/2006/relationships/chart" Target="../charts/chart78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31" Type="http://schemas.openxmlformats.org/officeDocument/2006/relationships/chart" Target="../charts/chart73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Relationship Id="rId22" Type="http://schemas.openxmlformats.org/officeDocument/2006/relationships/chart" Target="../charts/chart64.xml"/><Relationship Id="rId27" Type="http://schemas.openxmlformats.org/officeDocument/2006/relationships/chart" Target="../charts/chart69.xml"/><Relationship Id="rId30" Type="http://schemas.openxmlformats.org/officeDocument/2006/relationships/chart" Target="../charts/chart72.xml"/><Relationship Id="rId35" Type="http://schemas.openxmlformats.org/officeDocument/2006/relationships/chart" Target="../charts/chart77.xml"/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5" Type="http://schemas.openxmlformats.org/officeDocument/2006/relationships/chart" Target="../charts/chart67.xml"/><Relationship Id="rId33" Type="http://schemas.openxmlformats.org/officeDocument/2006/relationships/chart" Target="../charts/chart75.xml"/><Relationship Id="rId38" Type="http://schemas.openxmlformats.org/officeDocument/2006/relationships/chart" Target="../charts/chart8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38100</xdr:rowOff>
        </xdr:from>
        <xdr:to>
          <xdr:col>2</xdr:col>
          <xdr:colOff>38100</xdr:colOff>
          <xdr:row>5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D13FE4E-9481-D605-0E3A-FD5AA603A3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38100</xdr:rowOff>
        </xdr:from>
        <xdr:to>
          <xdr:col>2</xdr:col>
          <xdr:colOff>38100</xdr:colOff>
          <xdr:row>6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7EA7099-4909-33C8-1FC2-BAEED97AF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38100</xdr:rowOff>
        </xdr:from>
        <xdr:to>
          <xdr:col>2</xdr:col>
          <xdr:colOff>38100</xdr:colOff>
          <xdr:row>7</xdr:row>
          <xdr:rowOff>266700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9D875DBE-AE4D-3713-3826-F096DC02F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38100</xdr:rowOff>
        </xdr:from>
        <xdr:to>
          <xdr:col>2</xdr:col>
          <xdr:colOff>38100</xdr:colOff>
          <xdr:row>8</xdr:row>
          <xdr:rowOff>266700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339639C3-FF7B-948E-399D-A968D5BA2D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38100</xdr:rowOff>
        </xdr:from>
        <xdr:to>
          <xdr:col>2</xdr:col>
          <xdr:colOff>38100</xdr:colOff>
          <xdr:row>9</xdr:row>
          <xdr:rowOff>266700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5430B26E-43C3-6F3E-ADB8-625FCB6FA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38100</xdr:rowOff>
        </xdr:from>
        <xdr:to>
          <xdr:col>2</xdr:col>
          <xdr:colOff>38100</xdr:colOff>
          <xdr:row>10</xdr:row>
          <xdr:rowOff>266700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9D99FF0D-B024-01FB-734D-D3CED1A2E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38100</xdr:rowOff>
        </xdr:from>
        <xdr:to>
          <xdr:col>2</xdr:col>
          <xdr:colOff>38100</xdr:colOff>
          <xdr:row>11</xdr:row>
          <xdr:rowOff>266700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890ED8C0-0DF0-AF90-A594-B9589CCCB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38100</xdr:rowOff>
        </xdr:from>
        <xdr:to>
          <xdr:col>2</xdr:col>
          <xdr:colOff>38100</xdr:colOff>
          <xdr:row>12</xdr:row>
          <xdr:rowOff>266700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1DFB8969-7992-4745-6D69-C34B74795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38100</xdr:rowOff>
        </xdr:from>
        <xdr:to>
          <xdr:col>2</xdr:col>
          <xdr:colOff>38100</xdr:colOff>
          <xdr:row>13</xdr:row>
          <xdr:rowOff>266700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53C3E1C8-25B9-E633-090B-4D6CF01A6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14</xdr:row>
          <xdr:rowOff>38100</xdr:rowOff>
        </xdr:from>
        <xdr:to>
          <xdr:col>2</xdr:col>
          <xdr:colOff>38100</xdr:colOff>
          <xdr:row>14</xdr:row>
          <xdr:rowOff>266700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E7286588-708B-AA2A-BDD5-2A5BCCDA9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38100</xdr:rowOff>
        </xdr:from>
        <xdr:to>
          <xdr:col>2</xdr:col>
          <xdr:colOff>38100</xdr:colOff>
          <xdr:row>15</xdr:row>
          <xdr:rowOff>266700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3338EED8-EF01-B4FA-DD7F-04D714E2B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38100</xdr:rowOff>
        </xdr:from>
        <xdr:to>
          <xdr:col>2</xdr:col>
          <xdr:colOff>38100</xdr:colOff>
          <xdr:row>16</xdr:row>
          <xdr:rowOff>266700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1DFD85B6-E5C5-AAC3-B686-55A970C48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38100</xdr:rowOff>
        </xdr:from>
        <xdr:to>
          <xdr:col>2</xdr:col>
          <xdr:colOff>38100</xdr:colOff>
          <xdr:row>17</xdr:row>
          <xdr:rowOff>266700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FBDA6E71-01DF-3474-97DF-F3C952F78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38100</xdr:rowOff>
        </xdr:from>
        <xdr:to>
          <xdr:col>2</xdr:col>
          <xdr:colOff>38100</xdr:colOff>
          <xdr:row>18</xdr:row>
          <xdr:rowOff>266700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74D2A1E9-F784-B022-23EA-E03ADEBBBE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19</xdr:row>
          <xdr:rowOff>38100</xdr:rowOff>
        </xdr:from>
        <xdr:to>
          <xdr:col>2</xdr:col>
          <xdr:colOff>38100</xdr:colOff>
          <xdr:row>19</xdr:row>
          <xdr:rowOff>266700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C90BB6B4-5BB7-EAED-B845-CE047E477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38100</xdr:rowOff>
        </xdr:from>
        <xdr:to>
          <xdr:col>2</xdr:col>
          <xdr:colOff>38100</xdr:colOff>
          <xdr:row>20</xdr:row>
          <xdr:rowOff>266700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4D942CEF-AC8A-346E-3B4F-AED9DB5FA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38100</xdr:rowOff>
        </xdr:from>
        <xdr:to>
          <xdr:col>2</xdr:col>
          <xdr:colOff>38100</xdr:colOff>
          <xdr:row>21</xdr:row>
          <xdr:rowOff>266700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D73D477-A294-88EE-8F7B-6F53EC9C7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22</xdr:row>
          <xdr:rowOff>38100</xdr:rowOff>
        </xdr:from>
        <xdr:to>
          <xdr:col>2</xdr:col>
          <xdr:colOff>38100</xdr:colOff>
          <xdr:row>22</xdr:row>
          <xdr:rowOff>266700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18679570-B974-9B42-0BDE-05CA30017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23</xdr:row>
          <xdr:rowOff>38100</xdr:rowOff>
        </xdr:from>
        <xdr:to>
          <xdr:col>2</xdr:col>
          <xdr:colOff>38100</xdr:colOff>
          <xdr:row>23</xdr:row>
          <xdr:rowOff>266700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A7126A92-35A6-D3F1-3515-82DD499AB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38100</xdr:rowOff>
        </xdr:from>
        <xdr:to>
          <xdr:col>2</xdr:col>
          <xdr:colOff>38100</xdr:colOff>
          <xdr:row>24</xdr:row>
          <xdr:rowOff>266700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E10E250B-4448-B25D-C29F-DF848F17B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38100</xdr:rowOff>
        </xdr:from>
        <xdr:to>
          <xdr:col>2</xdr:col>
          <xdr:colOff>38100</xdr:colOff>
          <xdr:row>25</xdr:row>
          <xdr:rowOff>266700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A2AC9C64-4780-3420-1F14-B5B0AEC681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26</xdr:row>
          <xdr:rowOff>38100</xdr:rowOff>
        </xdr:from>
        <xdr:to>
          <xdr:col>2</xdr:col>
          <xdr:colOff>38100</xdr:colOff>
          <xdr:row>26</xdr:row>
          <xdr:rowOff>266700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FB1A5211-B852-6B88-134A-AA1E1AB37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27</xdr:row>
          <xdr:rowOff>38100</xdr:rowOff>
        </xdr:from>
        <xdr:to>
          <xdr:col>2</xdr:col>
          <xdr:colOff>38100</xdr:colOff>
          <xdr:row>27</xdr:row>
          <xdr:rowOff>266700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483CD8C7-D7BD-8089-B61E-F6B239DFE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38100</xdr:rowOff>
        </xdr:from>
        <xdr:to>
          <xdr:col>2</xdr:col>
          <xdr:colOff>38100</xdr:colOff>
          <xdr:row>28</xdr:row>
          <xdr:rowOff>266700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781E5E05-0D00-F080-89B7-CF0E58E9A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38100</xdr:rowOff>
        </xdr:from>
        <xdr:to>
          <xdr:col>2</xdr:col>
          <xdr:colOff>38100</xdr:colOff>
          <xdr:row>29</xdr:row>
          <xdr:rowOff>266700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E2EE88AB-69F6-A272-6213-C379BD6DE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30</xdr:row>
          <xdr:rowOff>38100</xdr:rowOff>
        </xdr:from>
        <xdr:to>
          <xdr:col>2</xdr:col>
          <xdr:colOff>38100</xdr:colOff>
          <xdr:row>30</xdr:row>
          <xdr:rowOff>266700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845B2F1D-0711-EEB4-C8B4-96EA9ADFA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31</xdr:row>
          <xdr:rowOff>38100</xdr:rowOff>
        </xdr:from>
        <xdr:to>
          <xdr:col>2</xdr:col>
          <xdr:colOff>38100</xdr:colOff>
          <xdr:row>31</xdr:row>
          <xdr:rowOff>266700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D2E413DC-38F3-1D64-4E4C-95FFA2603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38100</xdr:rowOff>
        </xdr:from>
        <xdr:to>
          <xdr:col>2</xdr:col>
          <xdr:colOff>38100</xdr:colOff>
          <xdr:row>32</xdr:row>
          <xdr:rowOff>266700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341CC24C-76FD-E266-4BBD-442C6FEDB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38100</xdr:rowOff>
        </xdr:from>
        <xdr:to>
          <xdr:col>2</xdr:col>
          <xdr:colOff>38100</xdr:colOff>
          <xdr:row>33</xdr:row>
          <xdr:rowOff>266700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4CFE27BA-1409-F5C5-31C1-AD5AA78276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38100</xdr:rowOff>
        </xdr:from>
        <xdr:to>
          <xdr:col>2</xdr:col>
          <xdr:colOff>38100</xdr:colOff>
          <xdr:row>34</xdr:row>
          <xdr:rowOff>266700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939CA91C-4FA5-56C9-B41B-B62C93D79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38100</xdr:rowOff>
        </xdr:from>
        <xdr:to>
          <xdr:col>2</xdr:col>
          <xdr:colOff>38100</xdr:colOff>
          <xdr:row>35</xdr:row>
          <xdr:rowOff>266700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6A7A4B43-2DFC-14EB-D31D-6446F53E6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36</xdr:row>
          <xdr:rowOff>38100</xdr:rowOff>
        </xdr:from>
        <xdr:to>
          <xdr:col>2</xdr:col>
          <xdr:colOff>38100</xdr:colOff>
          <xdr:row>36</xdr:row>
          <xdr:rowOff>266700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EE110509-94A0-16F0-BC05-D19B159B0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37</xdr:row>
          <xdr:rowOff>38100</xdr:rowOff>
        </xdr:from>
        <xdr:to>
          <xdr:col>2</xdr:col>
          <xdr:colOff>38100</xdr:colOff>
          <xdr:row>37</xdr:row>
          <xdr:rowOff>266700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A228703D-70CA-5CAE-AB59-322FEC691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38</xdr:row>
          <xdr:rowOff>38100</xdr:rowOff>
        </xdr:from>
        <xdr:to>
          <xdr:col>2</xdr:col>
          <xdr:colOff>38100</xdr:colOff>
          <xdr:row>38</xdr:row>
          <xdr:rowOff>266700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BF74E59-3ADC-F828-15ED-46BE5B75D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39</xdr:row>
          <xdr:rowOff>38100</xdr:rowOff>
        </xdr:from>
        <xdr:to>
          <xdr:col>2</xdr:col>
          <xdr:colOff>38100</xdr:colOff>
          <xdr:row>39</xdr:row>
          <xdr:rowOff>266700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ADB8E113-BD31-08D3-C4B0-3EFFEBE9B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38100</xdr:rowOff>
        </xdr:from>
        <xdr:to>
          <xdr:col>2</xdr:col>
          <xdr:colOff>38100</xdr:colOff>
          <xdr:row>40</xdr:row>
          <xdr:rowOff>266700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F8AEF79C-4114-8F3C-E500-D91A83DFF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41</xdr:row>
          <xdr:rowOff>38100</xdr:rowOff>
        </xdr:from>
        <xdr:to>
          <xdr:col>2</xdr:col>
          <xdr:colOff>38100</xdr:colOff>
          <xdr:row>41</xdr:row>
          <xdr:rowOff>266700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FD6842C6-C85F-40BE-5849-A6AD9B86EE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42</xdr:row>
          <xdr:rowOff>38100</xdr:rowOff>
        </xdr:from>
        <xdr:to>
          <xdr:col>2</xdr:col>
          <xdr:colOff>38100</xdr:colOff>
          <xdr:row>42</xdr:row>
          <xdr:rowOff>266700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E031869D-DD00-4DA0-88B7-42AE1BEF5A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43</xdr:row>
          <xdr:rowOff>38100</xdr:rowOff>
        </xdr:from>
        <xdr:to>
          <xdr:col>2</xdr:col>
          <xdr:colOff>38100</xdr:colOff>
          <xdr:row>43</xdr:row>
          <xdr:rowOff>266700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AA58F055-00A4-B59C-8004-F0A9287F6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38100</xdr:rowOff>
        </xdr:from>
        <xdr:to>
          <xdr:col>2</xdr:col>
          <xdr:colOff>38100</xdr:colOff>
          <xdr:row>44</xdr:row>
          <xdr:rowOff>266700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B34C2BBB-FABE-0DAE-A311-507017879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45</xdr:row>
          <xdr:rowOff>38100</xdr:rowOff>
        </xdr:from>
        <xdr:to>
          <xdr:col>2</xdr:col>
          <xdr:colOff>38100</xdr:colOff>
          <xdr:row>45</xdr:row>
          <xdr:rowOff>266700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F19875D0-251A-12B6-14BB-D133767B6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38100</xdr:rowOff>
        </xdr:from>
        <xdr:to>
          <xdr:col>2</xdr:col>
          <xdr:colOff>38100</xdr:colOff>
          <xdr:row>46</xdr:row>
          <xdr:rowOff>266700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93EF4E43-F580-CD3E-5BDE-8A9E0888C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38100</xdr:rowOff>
        </xdr:from>
        <xdr:to>
          <xdr:col>2</xdr:col>
          <xdr:colOff>38100</xdr:colOff>
          <xdr:row>47</xdr:row>
          <xdr:rowOff>266700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46D69546-C48E-03A3-5C49-5EEBDAB65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48</xdr:row>
          <xdr:rowOff>38100</xdr:rowOff>
        </xdr:from>
        <xdr:to>
          <xdr:col>2</xdr:col>
          <xdr:colOff>38100</xdr:colOff>
          <xdr:row>48</xdr:row>
          <xdr:rowOff>266700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221A370B-117D-CDFE-7184-A28F51364D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49</xdr:row>
          <xdr:rowOff>38100</xdr:rowOff>
        </xdr:from>
        <xdr:to>
          <xdr:col>2</xdr:col>
          <xdr:colOff>38100</xdr:colOff>
          <xdr:row>49</xdr:row>
          <xdr:rowOff>266700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A2F58A7E-75B3-53DA-CF23-E3DABF5BC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50</xdr:row>
          <xdr:rowOff>38100</xdr:rowOff>
        </xdr:from>
        <xdr:to>
          <xdr:col>2</xdr:col>
          <xdr:colOff>38100</xdr:colOff>
          <xdr:row>50</xdr:row>
          <xdr:rowOff>266700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D93BF26C-D4FD-3510-941E-2EFE130C3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51</xdr:row>
          <xdr:rowOff>38100</xdr:rowOff>
        </xdr:from>
        <xdr:to>
          <xdr:col>2</xdr:col>
          <xdr:colOff>38100</xdr:colOff>
          <xdr:row>51</xdr:row>
          <xdr:rowOff>266700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8FA7FF7E-76CF-4086-55AE-1912E882B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52</xdr:row>
          <xdr:rowOff>38100</xdr:rowOff>
        </xdr:from>
        <xdr:to>
          <xdr:col>2</xdr:col>
          <xdr:colOff>38100</xdr:colOff>
          <xdr:row>52</xdr:row>
          <xdr:rowOff>266700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690A473B-3D71-3994-5E29-4CECC7196F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53</xdr:row>
          <xdr:rowOff>38100</xdr:rowOff>
        </xdr:from>
        <xdr:to>
          <xdr:col>2</xdr:col>
          <xdr:colOff>38100</xdr:colOff>
          <xdr:row>53</xdr:row>
          <xdr:rowOff>266700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E27E6766-3CA1-C5BF-7038-5D12CF564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54</xdr:row>
          <xdr:rowOff>38100</xdr:rowOff>
        </xdr:from>
        <xdr:to>
          <xdr:col>2</xdr:col>
          <xdr:colOff>38100</xdr:colOff>
          <xdr:row>54</xdr:row>
          <xdr:rowOff>266700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F47078D2-8BF2-408C-F6B3-7BE4D6506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123825</xdr:colOff>
          <xdr:row>2</xdr:row>
          <xdr:rowOff>276225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502E6FA-9C76-63BE-7913-F3ED9884D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selecionados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323850</xdr:rowOff>
        </xdr:from>
        <xdr:to>
          <xdr:col>6</xdr:col>
          <xdr:colOff>123825</xdr:colOff>
          <xdr:row>3</xdr:row>
          <xdr:rowOff>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6CB5C339-AAB1-B530-63E4-6AB178D62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0</xdr:rowOff>
        </xdr:from>
        <xdr:to>
          <xdr:col>8</xdr:col>
          <xdr:colOff>390525</xdr:colOff>
          <xdr:row>2</xdr:row>
          <xdr:rowOff>228600</xdr:rowOff>
        </xdr:to>
        <xdr:sp macro="" textlink="">
          <xdr:nvSpPr>
            <xdr:cNvPr id="3125" name="Option 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C2380D3B-72FD-8A1C-084E-B7C14F9F5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 por folha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276225</xdr:rowOff>
        </xdr:from>
        <xdr:to>
          <xdr:col>8</xdr:col>
          <xdr:colOff>390525</xdr:colOff>
          <xdr:row>2</xdr:row>
          <xdr:rowOff>504825</xdr:rowOff>
        </xdr:to>
        <xdr:sp macro="" textlink="">
          <xdr:nvSpPr>
            <xdr:cNvPr id="3126" name="Option 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FD62E990-38CA-1E0F-1164-B9714203A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 por folha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0</xdr:rowOff>
    </xdr:from>
    <xdr:to>
      <xdr:col>9</xdr:col>
      <xdr:colOff>428625</xdr:colOff>
      <xdr:row>21</xdr:row>
      <xdr:rowOff>0</xdr:rowOff>
    </xdr:to>
    <xdr:graphicFrame macro="">
      <xdr:nvGraphicFramePr>
        <xdr:cNvPr id="2" name="G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24</xdr:row>
      <xdr:rowOff>0</xdr:rowOff>
    </xdr:from>
    <xdr:to>
      <xdr:col>9</xdr:col>
      <xdr:colOff>428625</xdr:colOff>
      <xdr:row>39</xdr:row>
      <xdr:rowOff>0</xdr:rowOff>
    </xdr:to>
    <xdr:graphicFrame macro="">
      <xdr:nvGraphicFramePr>
        <xdr:cNvPr id="3" name="G2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42</xdr:row>
      <xdr:rowOff>0</xdr:rowOff>
    </xdr:from>
    <xdr:to>
      <xdr:col>9</xdr:col>
      <xdr:colOff>428625</xdr:colOff>
      <xdr:row>57</xdr:row>
      <xdr:rowOff>0</xdr:rowOff>
    </xdr:to>
    <xdr:graphicFrame macro="">
      <xdr:nvGraphicFramePr>
        <xdr:cNvPr id="4" name="G4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60</xdr:row>
      <xdr:rowOff>0</xdr:rowOff>
    </xdr:from>
    <xdr:to>
      <xdr:col>9</xdr:col>
      <xdr:colOff>428625</xdr:colOff>
      <xdr:row>75</xdr:row>
      <xdr:rowOff>0</xdr:rowOff>
    </xdr:to>
    <xdr:graphicFrame macro="">
      <xdr:nvGraphicFramePr>
        <xdr:cNvPr id="5" name="G6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0</xdr:colOff>
      <xdr:row>78</xdr:row>
      <xdr:rowOff>0</xdr:rowOff>
    </xdr:from>
    <xdr:to>
      <xdr:col>9</xdr:col>
      <xdr:colOff>428625</xdr:colOff>
      <xdr:row>93</xdr:row>
      <xdr:rowOff>0</xdr:rowOff>
    </xdr:to>
    <xdr:graphicFrame macro="">
      <xdr:nvGraphicFramePr>
        <xdr:cNvPr id="6" name="G79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96</xdr:row>
      <xdr:rowOff>0</xdr:rowOff>
    </xdr:from>
    <xdr:to>
      <xdr:col>9</xdr:col>
      <xdr:colOff>428625</xdr:colOff>
      <xdr:row>111</xdr:row>
      <xdr:rowOff>0</xdr:rowOff>
    </xdr:to>
    <xdr:graphicFrame macro="">
      <xdr:nvGraphicFramePr>
        <xdr:cNvPr id="7" name="G97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115</xdr:row>
      <xdr:rowOff>0</xdr:rowOff>
    </xdr:from>
    <xdr:to>
      <xdr:col>9</xdr:col>
      <xdr:colOff>428625</xdr:colOff>
      <xdr:row>130</xdr:row>
      <xdr:rowOff>0</xdr:rowOff>
    </xdr:to>
    <xdr:graphicFrame macro="">
      <xdr:nvGraphicFramePr>
        <xdr:cNvPr id="8" name="G116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134</xdr:row>
      <xdr:rowOff>0</xdr:rowOff>
    </xdr:from>
    <xdr:to>
      <xdr:col>9</xdr:col>
      <xdr:colOff>428625</xdr:colOff>
      <xdr:row>149</xdr:row>
      <xdr:rowOff>0</xdr:rowOff>
    </xdr:to>
    <xdr:graphicFrame macro="">
      <xdr:nvGraphicFramePr>
        <xdr:cNvPr id="9" name="G135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152</xdr:row>
      <xdr:rowOff>0</xdr:rowOff>
    </xdr:from>
    <xdr:to>
      <xdr:col>9</xdr:col>
      <xdr:colOff>428625</xdr:colOff>
      <xdr:row>167</xdr:row>
      <xdr:rowOff>0</xdr:rowOff>
    </xdr:to>
    <xdr:graphicFrame macro="">
      <xdr:nvGraphicFramePr>
        <xdr:cNvPr id="10" name="G15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171</xdr:row>
      <xdr:rowOff>0</xdr:rowOff>
    </xdr:from>
    <xdr:to>
      <xdr:col>9</xdr:col>
      <xdr:colOff>428625</xdr:colOff>
      <xdr:row>186</xdr:row>
      <xdr:rowOff>0</xdr:rowOff>
    </xdr:to>
    <xdr:graphicFrame macro="">
      <xdr:nvGraphicFramePr>
        <xdr:cNvPr id="11" name="G17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189</xdr:row>
      <xdr:rowOff>0</xdr:rowOff>
    </xdr:from>
    <xdr:to>
      <xdr:col>9</xdr:col>
      <xdr:colOff>428625</xdr:colOff>
      <xdr:row>204</xdr:row>
      <xdr:rowOff>0</xdr:rowOff>
    </xdr:to>
    <xdr:graphicFrame macro="">
      <xdr:nvGraphicFramePr>
        <xdr:cNvPr id="12" name="G190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0</xdr:colOff>
      <xdr:row>207</xdr:row>
      <xdr:rowOff>0</xdr:rowOff>
    </xdr:from>
    <xdr:to>
      <xdr:col>9</xdr:col>
      <xdr:colOff>428625</xdr:colOff>
      <xdr:row>222</xdr:row>
      <xdr:rowOff>0</xdr:rowOff>
    </xdr:to>
    <xdr:graphicFrame macro="">
      <xdr:nvGraphicFramePr>
        <xdr:cNvPr id="13" name="G208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0</xdr:colOff>
      <xdr:row>225</xdr:row>
      <xdr:rowOff>0</xdr:rowOff>
    </xdr:from>
    <xdr:to>
      <xdr:col>9</xdr:col>
      <xdr:colOff>428625</xdr:colOff>
      <xdr:row>240</xdr:row>
      <xdr:rowOff>0</xdr:rowOff>
    </xdr:to>
    <xdr:graphicFrame macro="">
      <xdr:nvGraphicFramePr>
        <xdr:cNvPr id="14" name="G226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0</xdr:colOff>
      <xdr:row>243</xdr:row>
      <xdr:rowOff>0</xdr:rowOff>
    </xdr:from>
    <xdr:to>
      <xdr:col>9</xdr:col>
      <xdr:colOff>428625</xdr:colOff>
      <xdr:row>258</xdr:row>
      <xdr:rowOff>0</xdr:rowOff>
    </xdr:to>
    <xdr:graphicFrame macro="">
      <xdr:nvGraphicFramePr>
        <xdr:cNvPr id="15" name="G24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0</xdr:colOff>
      <xdr:row>261</xdr:row>
      <xdr:rowOff>0</xdr:rowOff>
    </xdr:from>
    <xdr:to>
      <xdr:col>9</xdr:col>
      <xdr:colOff>428625</xdr:colOff>
      <xdr:row>276</xdr:row>
      <xdr:rowOff>0</xdr:rowOff>
    </xdr:to>
    <xdr:graphicFrame macro="">
      <xdr:nvGraphicFramePr>
        <xdr:cNvPr id="16" name="G26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0</xdr:col>
      <xdr:colOff>0</xdr:colOff>
      <xdr:row>279</xdr:row>
      <xdr:rowOff>0</xdr:rowOff>
    </xdr:from>
    <xdr:to>
      <xdr:col>9</xdr:col>
      <xdr:colOff>428625</xdr:colOff>
      <xdr:row>294</xdr:row>
      <xdr:rowOff>0</xdr:rowOff>
    </xdr:to>
    <xdr:graphicFrame macro="">
      <xdr:nvGraphicFramePr>
        <xdr:cNvPr id="17" name="G280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0</xdr:col>
      <xdr:colOff>0</xdr:colOff>
      <xdr:row>297</xdr:row>
      <xdr:rowOff>0</xdr:rowOff>
    </xdr:from>
    <xdr:to>
      <xdr:col>9</xdr:col>
      <xdr:colOff>428625</xdr:colOff>
      <xdr:row>312</xdr:row>
      <xdr:rowOff>0</xdr:rowOff>
    </xdr:to>
    <xdr:graphicFrame macro="">
      <xdr:nvGraphicFramePr>
        <xdr:cNvPr id="18" name="G298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0</xdr:col>
      <xdr:colOff>0</xdr:colOff>
      <xdr:row>315</xdr:row>
      <xdr:rowOff>0</xdr:rowOff>
    </xdr:from>
    <xdr:to>
      <xdr:col>9</xdr:col>
      <xdr:colOff>428625</xdr:colOff>
      <xdr:row>330</xdr:row>
      <xdr:rowOff>0</xdr:rowOff>
    </xdr:to>
    <xdr:graphicFrame macro="">
      <xdr:nvGraphicFramePr>
        <xdr:cNvPr id="19" name="G316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0</xdr:col>
      <xdr:colOff>0</xdr:colOff>
      <xdr:row>333</xdr:row>
      <xdr:rowOff>0</xdr:rowOff>
    </xdr:from>
    <xdr:to>
      <xdr:col>9</xdr:col>
      <xdr:colOff>428625</xdr:colOff>
      <xdr:row>348</xdr:row>
      <xdr:rowOff>0</xdr:rowOff>
    </xdr:to>
    <xdr:graphicFrame macro="">
      <xdr:nvGraphicFramePr>
        <xdr:cNvPr id="20" name="G33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0</xdr:col>
      <xdr:colOff>0</xdr:colOff>
      <xdr:row>351</xdr:row>
      <xdr:rowOff>0</xdr:rowOff>
    </xdr:from>
    <xdr:to>
      <xdr:col>9</xdr:col>
      <xdr:colOff>428625</xdr:colOff>
      <xdr:row>366</xdr:row>
      <xdr:rowOff>0</xdr:rowOff>
    </xdr:to>
    <xdr:graphicFrame macro="">
      <xdr:nvGraphicFramePr>
        <xdr:cNvPr id="21" name="G352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0</xdr:col>
      <xdr:colOff>0</xdr:colOff>
      <xdr:row>369</xdr:row>
      <xdr:rowOff>0</xdr:rowOff>
    </xdr:from>
    <xdr:to>
      <xdr:col>9</xdr:col>
      <xdr:colOff>428625</xdr:colOff>
      <xdr:row>384</xdr:row>
      <xdr:rowOff>0</xdr:rowOff>
    </xdr:to>
    <xdr:graphicFrame macro="">
      <xdr:nvGraphicFramePr>
        <xdr:cNvPr id="22" name="G370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0</xdr:col>
      <xdr:colOff>0</xdr:colOff>
      <xdr:row>387</xdr:row>
      <xdr:rowOff>0</xdr:rowOff>
    </xdr:from>
    <xdr:to>
      <xdr:col>9</xdr:col>
      <xdr:colOff>428625</xdr:colOff>
      <xdr:row>402</xdr:row>
      <xdr:rowOff>0</xdr:rowOff>
    </xdr:to>
    <xdr:graphicFrame macro="">
      <xdr:nvGraphicFramePr>
        <xdr:cNvPr id="23" name="G388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0</xdr:col>
      <xdr:colOff>0</xdr:colOff>
      <xdr:row>405</xdr:row>
      <xdr:rowOff>0</xdr:rowOff>
    </xdr:from>
    <xdr:to>
      <xdr:col>9</xdr:col>
      <xdr:colOff>428625</xdr:colOff>
      <xdr:row>420</xdr:row>
      <xdr:rowOff>0</xdr:rowOff>
    </xdr:to>
    <xdr:graphicFrame macro="">
      <xdr:nvGraphicFramePr>
        <xdr:cNvPr id="24" name="G406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0</xdr:col>
      <xdr:colOff>0</xdr:colOff>
      <xdr:row>423</xdr:row>
      <xdr:rowOff>0</xdr:rowOff>
    </xdr:from>
    <xdr:to>
      <xdr:col>9</xdr:col>
      <xdr:colOff>428625</xdr:colOff>
      <xdr:row>438</xdr:row>
      <xdr:rowOff>0</xdr:rowOff>
    </xdr:to>
    <xdr:graphicFrame macro="">
      <xdr:nvGraphicFramePr>
        <xdr:cNvPr id="25" name="G4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0</xdr:col>
      <xdr:colOff>0</xdr:colOff>
      <xdr:row>442</xdr:row>
      <xdr:rowOff>0</xdr:rowOff>
    </xdr:from>
    <xdr:to>
      <xdr:col>9</xdr:col>
      <xdr:colOff>428625</xdr:colOff>
      <xdr:row>457</xdr:row>
      <xdr:rowOff>0</xdr:rowOff>
    </xdr:to>
    <xdr:graphicFrame macro="">
      <xdr:nvGraphicFramePr>
        <xdr:cNvPr id="26" name="G443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0</xdr:col>
      <xdr:colOff>0</xdr:colOff>
      <xdr:row>460</xdr:row>
      <xdr:rowOff>0</xdr:rowOff>
    </xdr:from>
    <xdr:to>
      <xdr:col>9</xdr:col>
      <xdr:colOff>428625</xdr:colOff>
      <xdr:row>475</xdr:row>
      <xdr:rowOff>0</xdr:rowOff>
    </xdr:to>
    <xdr:graphicFrame macro="">
      <xdr:nvGraphicFramePr>
        <xdr:cNvPr id="27" name="G46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0</xdr:col>
      <xdr:colOff>0</xdr:colOff>
      <xdr:row>478</xdr:row>
      <xdr:rowOff>0</xdr:rowOff>
    </xdr:from>
    <xdr:to>
      <xdr:col>9</xdr:col>
      <xdr:colOff>428625</xdr:colOff>
      <xdr:row>493</xdr:row>
      <xdr:rowOff>0</xdr:rowOff>
    </xdr:to>
    <xdr:graphicFrame macro="">
      <xdr:nvGraphicFramePr>
        <xdr:cNvPr id="28" name="G479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0</xdr:col>
      <xdr:colOff>0</xdr:colOff>
      <xdr:row>496</xdr:row>
      <xdr:rowOff>0</xdr:rowOff>
    </xdr:from>
    <xdr:to>
      <xdr:col>9</xdr:col>
      <xdr:colOff>428625</xdr:colOff>
      <xdr:row>511</xdr:row>
      <xdr:rowOff>0</xdr:rowOff>
    </xdr:to>
    <xdr:graphicFrame macro="">
      <xdr:nvGraphicFramePr>
        <xdr:cNvPr id="29" name="G497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0</xdr:col>
      <xdr:colOff>0</xdr:colOff>
      <xdr:row>514</xdr:row>
      <xdr:rowOff>0</xdr:rowOff>
    </xdr:from>
    <xdr:to>
      <xdr:col>9</xdr:col>
      <xdr:colOff>428625</xdr:colOff>
      <xdr:row>529</xdr:row>
      <xdr:rowOff>0</xdr:rowOff>
    </xdr:to>
    <xdr:graphicFrame macro="">
      <xdr:nvGraphicFramePr>
        <xdr:cNvPr id="30" name="G515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0</xdr:col>
      <xdr:colOff>0</xdr:colOff>
      <xdr:row>533</xdr:row>
      <xdr:rowOff>0</xdr:rowOff>
    </xdr:from>
    <xdr:to>
      <xdr:col>9</xdr:col>
      <xdr:colOff>428625</xdr:colOff>
      <xdr:row>548</xdr:row>
      <xdr:rowOff>0</xdr:rowOff>
    </xdr:to>
    <xdr:graphicFrame macro="">
      <xdr:nvGraphicFramePr>
        <xdr:cNvPr id="31" name="G53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absolute">
    <xdr:from>
      <xdr:col>0</xdr:col>
      <xdr:colOff>0</xdr:colOff>
      <xdr:row>551</xdr:row>
      <xdr:rowOff>0</xdr:rowOff>
    </xdr:from>
    <xdr:to>
      <xdr:col>9</xdr:col>
      <xdr:colOff>428625</xdr:colOff>
      <xdr:row>566</xdr:row>
      <xdr:rowOff>0</xdr:rowOff>
    </xdr:to>
    <xdr:graphicFrame macro="">
      <xdr:nvGraphicFramePr>
        <xdr:cNvPr id="32" name="G552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0</xdr:col>
      <xdr:colOff>0</xdr:colOff>
      <xdr:row>569</xdr:row>
      <xdr:rowOff>0</xdr:rowOff>
    </xdr:from>
    <xdr:to>
      <xdr:col>9</xdr:col>
      <xdr:colOff>428625</xdr:colOff>
      <xdr:row>584</xdr:row>
      <xdr:rowOff>0</xdr:rowOff>
    </xdr:to>
    <xdr:graphicFrame macro="">
      <xdr:nvGraphicFramePr>
        <xdr:cNvPr id="33" name="G570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0</xdr:col>
      <xdr:colOff>0</xdr:colOff>
      <xdr:row>587</xdr:row>
      <xdr:rowOff>0</xdr:rowOff>
    </xdr:from>
    <xdr:to>
      <xdr:col>9</xdr:col>
      <xdr:colOff>428625</xdr:colOff>
      <xdr:row>602</xdr:row>
      <xdr:rowOff>0</xdr:rowOff>
    </xdr:to>
    <xdr:graphicFrame macro="">
      <xdr:nvGraphicFramePr>
        <xdr:cNvPr id="34" name="G588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0</xdr:col>
      <xdr:colOff>0</xdr:colOff>
      <xdr:row>605</xdr:row>
      <xdr:rowOff>0</xdr:rowOff>
    </xdr:from>
    <xdr:to>
      <xdr:col>9</xdr:col>
      <xdr:colOff>428625</xdr:colOff>
      <xdr:row>620</xdr:row>
      <xdr:rowOff>0</xdr:rowOff>
    </xdr:to>
    <xdr:graphicFrame macro="">
      <xdr:nvGraphicFramePr>
        <xdr:cNvPr id="35" name="G606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0</xdr:col>
      <xdr:colOff>0</xdr:colOff>
      <xdr:row>623</xdr:row>
      <xdr:rowOff>0</xdr:rowOff>
    </xdr:from>
    <xdr:to>
      <xdr:col>9</xdr:col>
      <xdr:colOff>428625</xdr:colOff>
      <xdr:row>638</xdr:row>
      <xdr:rowOff>0</xdr:rowOff>
    </xdr:to>
    <xdr:graphicFrame macro="">
      <xdr:nvGraphicFramePr>
        <xdr:cNvPr id="36" name="G62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0</xdr:col>
      <xdr:colOff>0</xdr:colOff>
      <xdr:row>641</xdr:row>
      <xdr:rowOff>0</xdr:rowOff>
    </xdr:from>
    <xdr:to>
      <xdr:col>9</xdr:col>
      <xdr:colOff>428625</xdr:colOff>
      <xdr:row>656</xdr:row>
      <xdr:rowOff>0</xdr:rowOff>
    </xdr:to>
    <xdr:graphicFrame macro="">
      <xdr:nvGraphicFramePr>
        <xdr:cNvPr id="37" name="G642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 editAs="absolute">
    <xdr:from>
      <xdr:col>0</xdr:col>
      <xdr:colOff>0</xdr:colOff>
      <xdr:row>659</xdr:row>
      <xdr:rowOff>0</xdr:rowOff>
    </xdr:from>
    <xdr:to>
      <xdr:col>9</xdr:col>
      <xdr:colOff>428625</xdr:colOff>
      <xdr:row>674</xdr:row>
      <xdr:rowOff>0</xdr:rowOff>
    </xdr:to>
    <xdr:graphicFrame macro="">
      <xdr:nvGraphicFramePr>
        <xdr:cNvPr id="38" name="G660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 editAs="absolute">
    <xdr:from>
      <xdr:col>0</xdr:col>
      <xdr:colOff>0</xdr:colOff>
      <xdr:row>677</xdr:row>
      <xdr:rowOff>0</xdr:rowOff>
    </xdr:from>
    <xdr:to>
      <xdr:col>9</xdr:col>
      <xdr:colOff>428625</xdr:colOff>
      <xdr:row>692</xdr:row>
      <xdr:rowOff>0</xdr:rowOff>
    </xdr:to>
    <xdr:graphicFrame macro="">
      <xdr:nvGraphicFramePr>
        <xdr:cNvPr id="39" name="G67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 editAs="absolute">
    <xdr:from>
      <xdr:col>0</xdr:col>
      <xdr:colOff>0</xdr:colOff>
      <xdr:row>695</xdr:row>
      <xdr:rowOff>0</xdr:rowOff>
    </xdr:from>
    <xdr:to>
      <xdr:col>9</xdr:col>
      <xdr:colOff>428625</xdr:colOff>
      <xdr:row>710</xdr:row>
      <xdr:rowOff>0</xdr:rowOff>
    </xdr:to>
    <xdr:graphicFrame macro="">
      <xdr:nvGraphicFramePr>
        <xdr:cNvPr id="40" name="G696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 editAs="absolute">
    <xdr:from>
      <xdr:col>0</xdr:col>
      <xdr:colOff>0</xdr:colOff>
      <xdr:row>713</xdr:row>
      <xdr:rowOff>0</xdr:rowOff>
    </xdr:from>
    <xdr:to>
      <xdr:col>9</xdr:col>
      <xdr:colOff>428625</xdr:colOff>
      <xdr:row>728</xdr:row>
      <xdr:rowOff>0</xdr:rowOff>
    </xdr:to>
    <xdr:graphicFrame macro="">
      <xdr:nvGraphicFramePr>
        <xdr:cNvPr id="41" name="G71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absolute">
    <xdr:from>
      <xdr:col>0</xdr:col>
      <xdr:colOff>0</xdr:colOff>
      <xdr:row>731</xdr:row>
      <xdr:rowOff>0</xdr:rowOff>
    </xdr:from>
    <xdr:to>
      <xdr:col>9</xdr:col>
      <xdr:colOff>428625</xdr:colOff>
      <xdr:row>746</xdr:row>
      <xdr:rowOff>0</xdr:rowOff>
    </xdr:to>
    <xdr:graphicFrame macro="">
      <xdr:nvGraphicFramePr>
        <xdr:cNvPr id="42" name="G732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 editAs="absolute">
    <xdr:from>
      <xdr:col>0</xdr:col>
      <xdr:colOff>0</xdr:colOff>
      <xdr:row>749</xdr:row>
      <xdr:rowOff>0</xdr:rowOff>
    </xdr:from>
    <xdr:to>
      <xdr:col>9</xdr:col>
      <xdr:colOff>428625</xdr:colOff>
      <xdr:row>764</xdr:row>
      <xdr:rowOff>0</xdr:rowOff>
    </xdr:to>
    <xdr:graphicFrame macro="">
      <xdr:nvGraphicFramePr>
        <xdr:cNvPr id="43" name="G75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768</xdr:row>
      <xdr:rowOff>9525</xdr:rowOff>
    </xdr:from>
    <xdr:to>
      <xdr:col>9</xdr:col>
      <xdr:colOff>428625</xdr:colOff>
      <xdr:row>779</xdr:row>
      <xdr:rowOff>200025</xdr:rowOff>
    </xdr:to>
    <xdr:graphicFrame macro="">
      <xdr:nvGraphicFramePr>
        <xdr:cNvPr id="2" name="G7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782</xdr:row>
      <xdr:rowOff>66675</xdr:rowOff>
    </xdr:from>
    <xdr:to>
      <xdr:col>9</xdr:col>
      <xdr:colOff>428625</xdr:colOff>
      <xdr:row>793</xdr:row>
      <xdr:rowOff>200025</xdr:rowOff>
    </xdr:to>
    <xdr:graphicFrame macro="">
      <xdr:nvGraphicFramePr>
        <xdr:cNvPr id="3" name="G25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796</xdr:row>
      <xdr:rowOff>66675</xdr:rowOff>
    </xdr:from>
    <xdr:to>
      <xdr:col>9</xdr:col>
      <xdr:colOff>428625</xdr:colOff>
      <xdr:row>811</xdr:row>
      <xdr:rowOff>9525</xdr:rowOff>
    </xdr:to>
    <xdr:graphicFrame macro="">
      <xdr:nvGraphicFramePr>
        <xdr:cNvPr id="4" name="G43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814</xdr:row>
      <xdr:rowOff>47625</xdr:rowOff>
    </xdr:from>
    <xdr:to>
      <xdr:col>9</xdr:col>
      <xdr:colOff>428625</xdr:colOff>
      <xdr:row>829</xdr:row>
      <xdr:rowOff>47625</xdr:rowOff>
    </xdr:to>
    <xdr:graphicFrame macro="">
      <xdr:nvGraphicFramePr>
        <xdr:cNvPr id="5" name="G61" hidden="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832</xdr:row>
      <xdr:rowOff>85725</xdr:rowOff>
    </xdr:from>
    <xdr:to>
      <xdr:col>9</xdr:col>
      <xdr:colOff>428625</xdr:colOff>
      <xdr:row>847</xdr:row>
      <xdr:rowOff>85725</xdr:rowOff>
    </xdr:to>
    <xdr:graphicFrame macro="">
      <xdr:nvGraphicFramePr>
        <xdr:cNvPr id="6" name="G79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850</xdr:row>
      <xdr:rowOff>123825</xdr:rowOff>
    </xdr:from>
    <xdr:to>
      <xdr:col>9</xdr:col>
      <xdr:colOff>428625</xdr:colOff>
      <xdr:row>865</xdr:row>
      <xdr:rowOff>123825</xdr:rowOff>
    </xdr:to>
    <xdr:graphicFrame macro="">
      <xdr:nvGraphicFramePr>
        <xdr:cNvPr id="7" name="G97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870</xdr:row>
      <xdr:rowOff>28575</xdr:rowOff>
    </xdr:from>
    <xdr:to>
      <xdr:col>9</xdr:col>
      <xdr:colOff>428625</xdr:colOff>
      <xdr:row>885</xdr:row>
      <xdr:rowOff>28575</xdr:rowOff>
    </xdr:to>
    <xdr:graphicFrame macro="">
      <xdr:nvGraphicFramePr>
        <xdr:cNvPr id="8" name="G116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889</xdr:row>
      <xdr:rowOff>123825</xdr:rowOff>
    </xdr:from>
    <xdr:to>
      <xdr:col>9</xdr:col>
      <xdr:colOff>428625</xdr:colOff>
      <xdr:row>904</xdr:row>
      <xdr:rowOff>123825</xdr:rowOff>
    </xdr:to>
    <xdr:graphicFrame macro="">
      <xdr:nvGraphicFramePr>
        <xdr:cNvPr id="9" name="G135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907</xdr:row>
      <xdr:rowOff>161925</xdr:rowOff>
    </xdr:from>
    <xdr:to>
      <xdr:col>9</xdr:col>
      <xdr:colOff>428625</xdr:colOff>
      <xdr:row>922</xdr:row>
      <xdr:rowOff>161925</xdr:rowOff>
    </xdr:to>
    <xdr:graphicFrame macro="">
      <xdr:nvGraphicFramePr>
        <xdr:cNvPr id="10" name="G153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927</xdr:row>
      <xdr:rowOff>66675</xdr:rowOff>
    </xdr:from>
    <xdr:to>
      <xdr:col>9</xdr:col>
      <xdr:colOff>428625</xdr:colOff>
      <xdr:row>942</xdr:row>
      <xdr:rowOff>66675</xdr:rowOff>
    </xdr:to>
    <xdr:graphicFrame macro="">
      <xdr:nvGraphicFramePr>
        <xdr:cNvPr id="11" name="G172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945</xdr:row>
      <xdr:rowOff>104775</xdr:rowOff>
    </xdr:from>
    <xdr:to>
      <xdr:col>9</xdr:col>
      <xdr:colOff>428625</xdr:colOff>
      <xdr:row>960</xdr:row>
      <xdr:rowOff>104775</xdr:rowOff>
    </xdr:to>
    <xdr:graphicFrame macro="">
      <xdr:nvGraphicFramePr>
        <xdr:cNvPr id="12" name="G190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963</xdr:row>
      <xdr:rowOff>142875</xdr:rowOff>
    </xdr:from>
    <xdr:to>
      <xdr:col>9</xdr:col>
      <xdr:colOff>428625</xdr:colOff>
      <xdr:row>978</xdr:row>
      <xdr:rowOff>142875</xdr:rowOff>
    </xdr:to>
    <xdr:graphicFrame macro="">
      <xdr:nvGraphicFramePr>
        <xdr:cNvPr id="13" name="G208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981</xdr:row>
      <xdr:rowOff>180975</xdr:rowOff>
    </xdr:from>
    <xdr:to>
      <xdr:col>9</xdr:col>
      <xdr:colOff>428625</xdr:colOff>
      <xdr:row>996</xdr:row>
      <xdr:rowOff>180975</xdr:rowOff>
    </xdr:to>
    <xdr:graphicFrame macro="">
      <xdr:nvGraphicFramePr>
        <xdr:cNvPr id="14" name="G226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1000</xdr:row>
      <xdr:rowOff>28575</xdr:rowOff>
    </xdr:from>
    <xdr:to>
      <xdr:col>9</xdr:col>
      <xdr:colOff>428625</xdr:colOff>
      <xdr:row>1015</xdr:row>
      <xdr:rowOff>28575</xdr:rowOff>
    </xdr:to>
    <xdr:graphicFrame macro="">
      <xdr:nvGraphicFramePr>
        <xdr:cNvPr id="15" name="G244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1018</xdr:row>
      <xdr:rowOff>66675</xdr:rowOff>
    </xdr:from>
    <xdr:to>
      <xdr:col>9</xdr:col>
      <xdr:colOff>428625</xdr:colOff>
      <xdr:row>1033</xdr:row>
      <xdr:rowOff>66675</xdr:rowOff>
    </xdr:to>
    <xdr:graphicFrame macro="">
      <xdr:nvGraphicFramePr>
        <xdr:cNvPr id="16" name="G262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1036</xdr:row>
      <xdr:rowOff>104775</xdr:rowOff>
    </xdr:from>
    <xdr:to>
      <xdr:col>9</xdr:col>
      <xdr:colOff>428625</xdr:colOff>
      <xdr:row>1051</xdr:row>
      <xdr:rowOff>104775</xdr:rowOff>
    </xdr:to>
    <xdr:graphicFrame macro="">
      <xdr:nvGraphicFramePr>
        <xdr:cNvPr id="17" name="G280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1054</xdr:row>
      <xdr:rowOff>142875</xdr:rowOff>
    </xdr:from>
    <xdr:to>
      <xdr:col>9</xdr:col>
      <xdr:colOff>428625</xdr:colOff>
      <xdr:row>1069</xdr:row>
      <xdr:rowOff>142875</xdr:rowOff>
    </xdr:to>
    <xdr:graphicFrame macro="">
      <xdr:nvGraphicFramePr>
        <xdr:cNvPr id="18" name="G298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1072</xdr:row>
      <xdr:rowOff>180975</xdr:rowOff>
    </xdr:from>
    <xdr:to>
      <xdr:col>9</xdr:col>
      <xdr:colOff>428625</xdr:colOff>
      <xdr:row>1087</xdr:row>
      <xdr:rowOff>180975</xdr:rowOff>
    </xdr:to>
    <xdr:graphicFrame macro="">
      <xdr:nvGraphicFramePr>
        <xdr:cNvPr id="19" name="G316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1091</xdr:row>
      <xdr:rowOff>28575</xdr:rowOff>
    </xdr:from>
    <xdr:to>
      <xdr:col>9</xdr:col>
      <xdr:colOff>428625</xdr:colOff>
      <xdr:row>1106</xdr:row>
      <xdr:rowOff>28575</xdr:rowOff>
    </xdr:to>
    <xdr:graphicFrame macro="">
      <xdr:nvGraphicFramePr>
        <xdr:cNvPr id="20" name="G334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1109</xdr:row>
      <xdr:rowOff>66675</xdr:rowOff>
    </xdr:from>
    <xdr:to>
      <xdr:col>9</xdr:col>
      <xdr:colOff>428625</xdr:colOff>
      <xdr:row>1124</xdr:row>
      <xdr:rowOff>66675</xdr:rowOff>
    </xdr:to>
    <xdr:graphicFrame macro="">
      <xdr:nvGraphicFramePr>
        <xdr:cNvPr id="21" name="G352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1127</xdr:row>
      <xdr:rowOff>104775</xdr:rowOff>
    </xdr:from>
    <xdr:to>
      <xdr:col>9</xdr:col>
      <xdr:colOff>428625</xdr:colOff>
      <xdr:row>1142</xdr:row>
      <xdr:rowOff>104775</xdr:rowOff>
    </xdr:to>
    <xdr:graphicFrame macro="">
      <xdr:nvGraphicFramePr>
        <xdr:cNvPr id="22" name="G370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1145</xdr:row>
      <xdr:rowOff>142875</xdr:rowOff>
    </xdr:from>
    <xdr:to>
      <xdr:col>9</xdr:col>
      <xdr:colOff>428625</xdr:colOff>
      <xdr:row>1160</xdr:row>
      <xdr:rowOff>142875</xdr:rowOff>
    </xdr:to>
    <xdr:graphicFrame macro="">
      <xdr:nvGraphicFramePr>
        <xdr:cNvPr id="23" name="G388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1163</xdr:row>
      <xdr:rowOff>180975</xdr:rowOff>
    </xdr:from>
    <xdr:to>
      <xdr:col>9</xdr:col>
      <xdr:colOff>428625</xdr:colOff>
      <xdr:row>1178</xdr:row>
      <xdr:rowOff>180975</xdr:rowOff>
    </xdr:to>
    <xdr:graphicFrame macro="">
      <xdr:nvGraphicFramePr>
        <xdr:cNvPr id="24" name="G406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1182</xdr:row>
      <xdr:rowOff>28575</xdr:rowOff>
    </xdr:from>
    <xdr:to>
      <xdr:col>9</xdr:col>
      <xdr:colOff>428625</xdr:colOff>
      <xdr:row>1197</xdr:row>
      <xdr:rowOff>28575</xdr:rowOff>
    </xdr:to>
    <xdr:graphicFrame macro="">
      <xdr:nvGraphicFramePr>
        <xdr:cNvPr id="25" name="G424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1201</xdr:row>
      <xdr:rowOff>123825</xdr:rowOff>
    </xdr:from>
    <xdr:to>
      <xdr:col>9</xdr:col>
      <xdr:colOff>428625</xdr:colOff>
      <xdr:row>1216</xdr:row>
      <xdr:rowOff>123825</xdr:rowOff>
    </xdr:to>
    <xdr:graphicFrame macro="">
      <xdr:nvGraphicFramePr>
        <xdr:cNvPr id="26" name="G443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1219</xdr:row>
      <xdr:rowOff>161925</xdr:rowOff>
    </xdr:from>
    <xdr:to>
      <xdr:col>9</xdr:col>
      <xdr:colOff>428625</xdr:colOff>
      <xdr:row>1234</xdr:row>
      <xdr:rowOff>161925</xdr:rowOff>
    </xdr:to>
    <xdr:graphicFrame macro="">
      <xdr:nvGraphicFramePr>
        <xdr:cNvPr id="27" name="G461" hidden="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1238</xdr:row>
      <xdr:rowOff>9525</xdr:rowOff>
    </xdr:from>
    <xdr:to>
      <xdr:col>9</xdr:col>
      <xdr:colOff>428625</xdr:colOff>
      <xdr:row>1253</xdr:row>
      <xdr:rowOff>9525</xdr:rowOff>
    </xdr:to>
    <xdr:graphicFrame macro="">
      <xdr:nvGraphicFramePr>
        <xdr:cNvPr id="28" name="G479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1256</xdr:row>
      <xdr:rowOff>47625</xdr:rowOff>
    </xdr:from>
    <xdr:to>
      <xdr:col>9</xdr:col>
      <xdr:colOff>428625</xdr:colOff>
      <xdr:row>1271</xdr:row>
      <xdr:rowOff>47625</xdr:rowOff>
    </xdr:to>
    <xdr:graphicFrame macro="">
      <xdr:nvGraphicFramePr>
        <xdr:cNvPr id="29" name="G497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1274</xdr:row>
      <xdr:rowOff>85725</xdr:rowOff>
    </xdr:from>
    <xdr:to>
      <xdr:col>9</xdr:col>
      <xdr:colOff>428625</xdr:colOff>
      <xdr:row>1289</xdr:row>
      <xdr:rowOff>85725</xdr:rowOff>
    </xdr:to>
    <xdr:graphicFrame macro="">
      <xdr:nvGraphicFramePr>
        <xdr:cNvPr id="30" name="G515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1293</xdr:row>
      <xdr:rowOff>180975</xdr:rowOff>
    </xdr:from>
    <xdr:to>
      <xdr:col>9</xdr:col>
      <xdr:colOff>428625</xdr:colOff>
      <xdr:row>1308</xdr:row>
      <xdr:rowOff>180975</xdr:rowOff>
    </xdr:to>
    <xdr:graphicFrame macro="">
      <xdr:nvGraphicFramePr>
        <xdr:cNvPr id="31" name="G534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1312</xdr:row>
      <xdr:rowOff>28575</xdr:rowOff>
    </xdr:from>
    <xdr:to>
      <xdr:col>9</xdr:col>
      <xdr:colOff>428625</xdr:colOff>
      <xdr:row>1327</xdr:row>
      <xdr:rowOff>28575</xdr:rowOff>
    </xdr:to>
    <xdr:graphicFrame macro="">
      <xdr:nvGraphicFramePr>
        <xdr:cNvPr id="32" name="G552" hidden="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1330</xdr:row>
      <xdr:rowOff>66675</xdr:rowOff>
    </xdr:from>
    <xdr:to>
      <xdr:col>9</xdr:col>
      <xdr:colOff>428625</xdr:colOff>
      <xdr:row>1345</xdr:row>
      <xdr:rowOff>66675</xdr:rowOff>
    </xdr:to>
    <xdr:graphicFrame macro="">
      <xdr:nvGraphicFramePr>
        <xdr:cNvPr id="33" name="G570" hidden="1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1348</xdr:row>
      <xdr:rowOff>104775</xdr:rowOff>
    </xdr:from>
    <xdr:to>
      <xdr:col>9</xdr:col>
      <xdr:colOff>428625</xdr:colOff>
      <xdr:row>1363</xdr:row>
      <xdr:rowOff>104775</xdr:rowOff>
    </xdr:to>
    <xdr:graphicFrame macro="">
      <xdr:nvGraphicFramePr>
        <xdr:cNvPr id="34" name="G588" hidden="1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1366</xdr:row>
      <xdr:rowOff>142875</xdr:rowOff>
    </xdr:from>
    <xdr:to>
      <xdr:col>9</xdr:col>
      <xdr:colOff>428625</xdr:colOff>
      <xdr:row>1381</xdr:row>
      <xdr:rowOff>142875</xdr:rowOff>
    </xdr:to>
    <xdr:graphicFrame macro="">
      <xdr:nvGraphicFramePr>
        <xdr:cNvPr id="35" name="G606" hidden="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1384</xdr:row>
      <xdr:rowOff>180975</xdr:rowOff>
    </xdr:from>
    <xdr:to>
      <xdr:col>9</xdr:col>
      <xdr:colOff>428625</xdr:colOff>
      <xdr:row>1399</xdr:row>
      <xdr:rowOff>180975</xdr:rowOff>
    </xdr:to>
    <xdr:graphicFrame macro="">
      <xdr:nvGraphicFramePr>
        <xdr:cNvPr id="36" name="G624" hidden="1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1403</xdr:row>
      <xdr:rowOff>28575</xdr:rowOff>
    </xdr:from>
    <xdr:to>
      <xdr:col>9</xdr:col>
      <xdr:colOff>428625</xdr:colOff>
      <xdr:row>1418</xdr:row>
      <xdr:rowOff>28575</xdr:rowOff>
    </xdr:to>
    <xdr:graphicFrame macro="">
      <xdr:nvGraphicFramePr>
        <xdr:cNvPr id="37" name="G642" hidden="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1421</xdr:row>
      <xdr:rowOff>66675</xdr:rowOff>
    </xdr:from>
    <xdr:to>
      <xdr:col>9</xdr:col>
      <xdr:colOff>428625</xdr:colOff>
      <xdr:row>1436</xdr:row>
      <xdr:rowOff>66675</xdr:rowOff>
    </xdr:to>
    <xdr:graphicFrame macro="">
      <xdr:nvGraphicFramePr>
        <xdr:cNvPr id="38" name="G660" hidden="1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1439</xdr:row>
      <xdr:rowOff>104775</xdr:rowOff>
    </xdr:from>
    <xdr:to>
      <xdr:col>9</xdr:col>
      <xdr:colOff>428625</xdr:colOff>
      <xdr:row>1454</xdr:row>
      <xdr:rowOff>104775</xdr:rowOff>
    </xdr:to>
    <xdr:graphicFrame macro="">
      <xdr:nvGraphicFramePr>
        <xdr:cNvPr id="39" name="G678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1457</xdr:row>
      <xdr:rowOff>142875</xdr:rowOff>
    </xdr:from>
    <xdr:to>
      <xdr:col>9</xdr:col>
      <xdr:colOff>428625</xdr:colOff>
      <xdr:row>1472</xdr:row>
      <xdr:rowOff>142875</xdr:rowOff>
    </xdr:to>
    <xdr:graphicFrame macro="">
      <xdr:nvGraphicFramePr>
        <xdr:cNvPr id="40" name="G696" hidden="1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1475</xdr:row>
      <xdr:rowOff>180975</xdr:rowOff>
    </xdr:from>
    <xdr:to>
      <xdr:col>9</xdr:col>
      <xdr:colOff>428625</xdr:colOff>
      <xdr:row>1490</xdr:row>
      <xdr:rowOff>180975</xdr:rowOff>
    </xdr:to>
    <xdr:graphicFrame macro="">
      <xdr:nvGraphicFramePr>
        <xdr:cNvPr id="41" name="G714" hidden="1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1494</xdr:row>
      <xdr:rowOff>28575</xdr:rowOff>
    </xdr:from>
    <xdr:to>
      <xdr:col>9</xdr:col>
      <xdr:colOff>428625</xdr:colOff>
      <xdr:row>1509</xdr:row>
      <xdr:rowOff>28575</xdr:rowOff>
    </xdr:to>
    <xdr:graphicFrame macro="">
      <xdr:nvGraphicFramePr>
        <xdr:cNvPr id="42" name="G732" hidden="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1512</xdr:row>
      <xdr:rowOff>66675</xdr:rowOff>
    </xdr:from>
    <xdr:to>
      <xdr:col>9</xdr:col>
      <xdr:colOff>428625</xdr:colOff>
      <xdr:row>1527</xdr:row>
      <xdr:rowOff>66675</xdr:rowOff>
    </xdr:to>
    <xdr:graphicFrame macro="">
      <xdr:nvGraphicFramePr>
        <xdr:cNvPr id="43" name="G750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1B4F72"/>
    <pageSetUpPr fitToPage="1"/>
  </sheetPr>
  <dimension ref="A1:H57"/>
  <sheetViews>
    <sheetView showGridLines="0" workbookViewId="0">
      <pane ySplit="5" topLeftCell="A6" activePane="bottomLeft" state="frozen"/>
      <selection pane="bottomLeft" sqref="A1:E1"/>
    </sheetView>
  </sheetViews>
  <sheetFormatPr defaultRowHeight="15" x14ac:dyDescent="0.25"/>
  <cols>
    <col min="1" max="1" width="4.7109375" customWidth="1"/>
    <col min="2" max="2" width="3.7109375" hidden="1" customWidth="1"/>
    <col min="3" max="3" width="16.7109375" customWidth="1"/>
    <col min="4" max="4" width="32.7109375" customWidth="1"/>
    <col min="5" max="5" width="42.7109375" customWidth="1"/>
    <col min="6" max="6" width="26.7109375" customWidth="1"/>
    <col min="7" max="7" width="20.7109375" customWidth="1"/>
    <col min="8" max="8" width="4.7109375" hidden="1" customWidth="1"/>
  </cols>
  <sheetData>
    <row r="1" spans="1:8" ht="21.95" customHeight="1" x14ac:dyDescent="0.25">
      <c r="A1" s="22" t="s">
        <v>0</v>
      </c>
      <c r="B1" s="22"/>
      <c r="C1" s="22"/>
      <c r="D1" s="22"/>
      <c r="E1" s="22"/>
    </row>
    <row r="2" spans="1:8" ht="32.1" customHeight="1" x14ac:dyDescent="0.25">
      <c r="A2" s="23" t="s">
        <v>1</v>
      </c>
      <c r="B2" s="23"/>
      <c r="C2" s="23"/>
      <c r="D2" s="23"/>
      <c r="E2" s="23"/>
    </row>
    <row r="3" spans="1:8" ht="48" customHeight="1" x14ac:dyDescent="0.25">
      <c r="H3">
        <v>1</v>
      </c>
    </row>
    <row r="4" spans="1:8" ht="20.100000000000001" customHeight="1" x14ac:dyDescent="0.25">
      <c r="A4" s="24" t="s">
        <v>2</v>
      </c>
      <c r="B4" s="24"/>
      <c r="C4" s="24"/>
      <c r="D4" s="24"/>
      <c r="E4" s="24"/>
    </row>
    <row r="5" spans="1:8" x14ac:dyDescent="0.25">
      <c r="A5" s="3" t="s">
        <v>3</v>
      </c>
      <c r="B5" s="3" t="s">
        <v>4</v>
      </c>
      <c r="C5" s="3" t="s">
        <v>5</v>
      </c>
      <c r="D5" s="3" t="s">
        <v>6</v>
      </c>
      <c r="E5" s="3" t="s">
        <v>7</v>
      </c>
    </row>
    <row r="6" spans="1:8" ht="21.95" customHeight="1" x14ac:dyDescent="0.25">
      <c r="B6" t="b">
        <v>0</v>
      </c>
      <c r="C6" s="4" t="s">
        <v>8</v>
      </c>
      <c r="D6" s="5" t="s">
        <v>9</v>
      </c>
      <c r="E6" s="6" t="s">
        <v>10</v>
      </c>
    </row>
    <row r="7" spans="1:8" ht="21.95" customHeight="1" x14ac:dyDescent="0.25">
      <c r="B7" t="b">
        <v>0</v>
      </c>
      <c r="C7" s="4" t="s">
        <v>8</v>
      </c>
      <c r="D7" s="5" t="s">
        <v>11</v>
      </c>
      <c r="E7" s="6" t="s">
        <v>12</v>
      </c>
    </row>
    <row r="8" spans="1:8" ht="21.95" customHeight="1" x14ac:dyDescent="0.25">
      <c r="B8" t="b">
        <v>0</v>
      </c>
      <c r="C8" s="4" t="s">
        <v>8</v>
      </c>
      <c r="D8" s="5" t="s">
        <v>13</v>
      </c>
      <c r="E8" s="6" t="s">
        <v>14</v>
      </c>
    </row>
    <row r="9" spans="1:8" ht="21.95" customHeight="1" x14ac:dyDescent="0.25">
      <c r="B9" t="b">
        <v>0</v>
      </c>
      <c r="C9" s="4" t="s">
        <v>8</v>
      </c>
      <c r="D9" s="5" t="s">
        <v>15</v>
      </c>
      <c r="E9" s="6" t="s">
        <v>16</v>
      </c>
    </row>
    <row r="10" spans="1:8" ht="21.95" customHeight="1" x14ac:dyDescent="0.25">
      <c r="B10" t="b">
        <v>0</v>
      </c>
      <c r="C10" s="4" t="s">
        <v>17</v>
      </c>
      <c r="D10" s="5" t="s">
        <v>18</v>
      </c>
      <c r="E10" s="6" t="s">
        <v>19</v>
      </c>
    </row>
    <row r="11" spans="1:8" ht="21.95" customHeight="1" x14ac:dyDescent="0.25">
      <c r="B11" t="b">
        <v>0</v>
      </c>
      <c r="C11" s="4" t="s">
        <v>20</v>
      </c>
      <c r="D11" s="5" t="s">
        <v>21</v>
      </c>
      <c r="E11" s="6" t="s">
        <v>22</v>
      </c>
    </row>
    <row r="12" spans="1:8" ht="21.95" customHeight="1" x14ac:dyDescent="0.25">
      <c r="B12" t="b">
        <v>0</v>
      </c>
      <c r="C12" s="4" t="s">
        <v>20</v>
      </c>
      <c r="D12" s="5" t="s">
        <v>23</v>
      </c>
      <c r="E12" s="6" t="s">
        <v>24</v>
      </c>
    </row>
    <row r="13" spans="1:8" ht="21.95" customHeight="1" x14ac:dyDescent="0.25">
      <c r="B13" t="b">
        <v>0</v>
      </c>
      <c r="C13" s="4" t="s">
        <v>25</v>
      </c>
      <c r="D13" s="5" t="s">
        <v>26</v>
      </c>
      <c r="E13" s="6" t="s">
        <v>27</v>
      </c>
    </row>
    <row r="14" spans="1:8" ht="21.95" customHeight="1" x14ac:dyDescent="0.25">
      <c r="B14" t="b">
        <v>0</v>
      </c>
      <c r="C14" s="4" t="s">
        <v>25</v>
      </c>
      <c r="D14" s="5" t="s">
        <v>28</v>
      </c>
      <c r="E14" s="6" t="s">
        <v>29</v>
      </c>
    </row>
    <row r="15" spans="1:8" ht="21.95" customHeight="1" x14ac:dyDescent="0.25">
      <c r="B15" t="b">
        <v>0</v>
      </c>
      <c r="C15" s="4" t="s">
        <v>25</v>
      </c>
      <c r="D15" s="5" t="s">
        <v>30</v>
      </c>
      <c r="E15" s="6" t="s">
        <v>31</v>
      </c>
    </row>
    <row r="16" spans="1:8" ht="21.95" customHeight="1" x14ac:dyDescent="0.25">
      <c r="B16" t="b">
        <v>0</v>
      </c>
      <c r="C16" s="4" t="s">
        <v>25</v>
      </c>
      <c r="D16" s="5" t="s">
        <v>32</v>
      </c>
      <c r="E16" s="6" t="s">
        <v>33</v>
      </c>
    </row>
    <row r="17" spans="2:5" ht="21.95" customHeight="1" x14ac:dyDescent="0.25">
      <c r="B17" t="b">
        <v>0</v>
      </c>
      <c r="C17" s="4" t="s">
        <v>25</v>
      </c>
      <c r="D17" s="5" t="s">
        <v>34</v>
      </c>
      <c r="E17" s="6" t="s">
        <v>35</v>
      </c>
    </row>
    <row r="18" spans="2:5" ht="21.95" customHeight="1" x14ac:dyDescent="0.25">
      <c r="B18" t="b">
        <v>0</v>
      </c>
      <c r="C18" s="4" t="s">
        <v>25</v>
      </c>
      <c r="D18" s="5" t="s">
        <v>36</v>
      </c>
      <c r="E18" s="6" t="s">
        <v>37</v>
      </c>
    </row>
    <row r="19" spans="2:5" ht="21.95" customHeight="1" x14ac:dyDescent="0.25">
      <c r="B19" t="b">
        <v>0</v>
      </c>
      <c r="C19" s="4" t="s">
        <v>25</v>
      </c>
      <c r="D19" s="5" t="s">
        <v>38</v>
      </c>
      <c r="E19" s="6" t="s">
        <v>39</v>
      </c>
    </row>
    <row r="20" spans="2:5" ht="21.95" customHeight="1" x14ac:dyDescent="0.25">
      <c r="B20" t="b">
        <v>0</v>
      </c>
      <c r="C20" s="4" t="s">
        <v>25</v>
      </c>
      <c r="D20" s="5" t="s">
        <v>40</v>
      </c>
      <c r="E20" s="6" t="s">
        <v>41</v>
      </c>
    </row>
    <row r="21" spans="2:5" ht="21.95" customHeight="1" x14ac:dyDescent="0.25">
      <c r="B21" t="b">
        <v>0</v>
      </c>
      <c r="C21" s="4" t="s">
        <v>25</v>
      </c>
      <c r="D21" s="5" t="s">
        <v>42</v>
      </c>
      <c r="E21" s="6" t="s">
        <v>43</v>
      </c>
    </row>
    <row r="22" spans="2:5" ht="21.95" customHeight="1" x14ac:dyDescent="0.25">
      <c r="B22" t="b">
        <v>0</v>
      </c>
      <c r="C22" s="4" t="s">
        <v>25</v>
      </c>
      <c r="D22" s="5" t="s">
        <v>44</v>
      </c>
      <c r="E22" s="6" t="s">
        <v>43</v>
      </c>
    </row>
    <row r="23" spans="2:5" ht="21.95" customHeight="1" x14ac:dyDescent="0.25">
      <c r="B23" t="b">
        <v>0</v>
      </c>
      <c r="C23" s="4" t="s">
        <v>25</v>
      </c>
      <c r="D23" s="5" t="s">
        <v>45</v>
      </c>
      <c r="E23" s="6" t="s">
        <v>43</v>
      </c>
    </row>
    <row r="24" spans="2:5" ht="21.95" customHeight="1" x14ac:dyDescent="0.25">
      <c r="B24" t="b">
        <v>0</v>
      </c>
      <c r="C24" s="4" t="s">
        <v>25</v>
      </c>
      <c r="D24" s="5" t="s">
        <v>46</v>
      </c>
      <c r="E24" s="6" t="s">
        <v>47</v>
      </c>
    </row>
    <row r="25" spans="2:5" ht="21.95" customHeight="1" x14ac:dyDescent="0.25">
      <c r="B25" t="b">
        <v>0</v>
      </c>
      <c r="C25" s="4" t="s">
        <v>25</v>
      </c>
      <c r="D25" s="5" t="s">
        <v>48</v>
      </c>
      <c r="E25" s="6" t="s">
        <v>49</v>
      </c>
    </row>
    <row r="26" spans="2:5" ht="21.95" customHeight="1" x14ac:dyDescent="0.25">
      <c r="B26" t="b">
        <v>0</v>
      </c>
      <c r="C26" s="4" t="s">
        <v>25</v>
      </c>
      <c r="D26" s="5" t="s">
        <v>50</v>
      </c>
      <c r="E26" s="6" t="s">
        <v>51</v>
      </c>
    </row>
    <row r="27" spans="2:5" ht="21.95" customHeight="1" x14ac:dyDescent="0.25">
      <c r="B27" t="b">
        <v>0</v>
      </c>
      <c r="C27" s="4" t="s">
        <v>25</v>
      </c>
      <c r="D27" s="5" t="s">
        <v>52</v>
      </c>
      <c r="E27" s="6" t="s">
        <v>53</v>
      </c>
    </row>
    <row r="28" spans="2:5" ht="21.95" customHeight="1" x14ac:dyDescent="0.25">
      <c r="B28" t="b">
        <v>0</v>
      </c>
      <c r="C28" s="4" t="s">
        <v>54</v>
      </c>
      <c r="D28" s="5" t="s">
        <v>55</v>
      </c>
      <c r="E28" s="6" t="s">
        <v>56</v>
      </c>
    </row>
    <row r="29" spans="2:5" ht="21.95" customHeight="1" x14ac:dyDescent="0.25">
      <c r="B29" t="b">
        <v>0</v>
      </c>
      <c r="C29" s="4" t="s">
        <v>57</v>
      </c>
      <c r="D29" s="5" t="s">
        <v>58</v>
      </c>
      <c r="E29" s="6" t="s">
        <v>59</v>
      </c>
    </row>
    <row r="30" spans="2:5" ht="21.95" customHeight="1" x14ac:dyDescent="0.25">
      <c r="B30" t="b">
        <v>0</v>
      </c>
      <c r="C30" s="4" t="s">
        <v>57</v>
      </c>
      <c r="D30" s="5" t="s">
        <v>60</v>
      </c>
      <c r="E30" s="6" t="s">
        <v>61</v>
      </c>
    </row>
    <row r="31" spans="2:5" ht="21.95" customHeight="1" x14ac:dyDescent="0.25">
      <c r="B31" t="b">
        <v>0</v>
      </c>
      <c r="C31" s="4" t="s">
        <v>57</v>
      </c>
      <c r="D31" s="5" t="s">
        <v>62</v>
      </c>
      <c r="E31" s="6" t="s">
        <v>63</v>
      </c>
    </row>
    <row r="32" spans="2:5" ht="21.95" customHeight="1" x14ac:dyDescent="0.25">
      <c r="B32" t="b">
        <v>0</v>
      </c>
      <c r="C32" s="4" t="s">
        <v>57</v>
      </c>
      <c r="D32" s="5" t="s">
        <v>64</v>
      </c>
      <c r="E32" s="6" t="s">
        <v>65</v>
      </c>
    </row>
    <row r="33" spans="2:5" ht="21.95" customHeight="1" x14ac:dyDescent="0.25">
      <c r="B33" t="b">
        <v>0</v>
      </c>
      <c r="C33" s="4" t="s">
        <v>57</v>
      </c>
      <c r="D33" s="5" t="s">
        <v>66</v>
      </c>
      <c r="E33" s="6" t="s">
        <v>67</v>
      </c>
    </row>
    <row r="34" spans="2:5" ht="21.95" customHeight="1" x14ac:dyDescent="0.25">
      <c r="B34" t="b">
        <v>0</v>
      </c>
      <c r="C34" s="4" t="s">
        <v>57</v>
      </c>
      <c r="D34" s="5" t="s">
        <v>68</v>
      </c>
      <c r="E34" s="6" t="s">
        <v>69</v>
      </c>
    </row>
    <row r="35" spans="2:5" ht="21.95" customHeight="1" x14ac:dyDescent="0.25">
      <c r="B35" t="b">
        <v>0</v>
      </c>
      <c r="C35" s="4" t="s">
        <v>70</v>
      </c>
      <c r="D35" s="5" t="s">
        <v>71</v>
      </c>
      <c r="E35" s="6" t="s">
        <v>72</v>
      </c>
    </row>
    <row r="36" spans="2:5" ht="21.95" customHeight="1" x14ac:dyDescent="0.25">
      <c r="B36" t="b">
        <v>0</v>
      </c>
      <c r="C36" s="4" t="s">
        <v>70</v>
      </c>
      <c r="D36" s="5" t="s">
        <v>73</v>
      </c>
      <c r="E36" s="6" t="s">
        <v>74</v>
      </c>
    </row>
    <row r="37" spans="2:5" ht="21.95" customHeight="1" x14ac:dyDescent="0.25">
      <c r="B37" t="b">
        <v>0</v>
      </c>
      <c r="C37" s="4" t="s">
        <v>70</v>
      </c>
      <c r="D37" s="5" t="s">
        <v>75</v>
      </c>
      <c r="E37" s="6" t="s">
        <v>76</v>
      </c>
    </row>
    <row r="38" spans="2:5" ht="21.95" customHeight="1" x14ac:dyDescent="0.25">
      <c r="B38" t="b">
        <v>0</v>
      </c>
      <c r="C38" s="4" t="s">
        <v>70</v>
      </c>
      <c r="D38" s="5" t="s">
        <v>77</v>
      </c>
      <c r="E38" s="6" t="s">
        <v>78</v>
      </c>
    </row>
    <row r="39" spans="2:5" ht="21.95" customHeight="1" x14ac:dyDescent="0.25">
      <c r="B39" t="b">
        <v>0</v>
      </c>
      <c r="C39" s="4" t="s">
        <v>70</v>
      </c>
      <c r="D39" s="5" t="s">
        <v>79</v>
      </c>
      <c r="E39" s="6" t="s">
        <v>80</v>
      </c>
    </row>
    <row r="40" spans="2:5" ht="21.95" customHeight="1" x14ac:dyDescent="0.25">
      <c r="B40" t="b">
        <v>0</v>
      </c>
      <c r="C40" s="4" t="s">
        <v>70</v>
      </c>
      <c r="D40" s="5" t="s">
        <v>81</v>
      </c>
      <c r="E40" s="6" t="s">
        <v>82</v>
      </c>
    </row>
    <row r="41" spans="2:5" ht="21.95" customHeight="1" x14ac:dyDescent="0.25">
      <c r="B41" t="b">
        <v>0</v>
      </c>
      <c r="C41" s="4" t="s">
        <v>70</v>
      </c>
      <c r="D41" s="5" t="s">
        <v>83</v>
      </c>
      <c r="E41" s="6" t="s">
        <v>82</v>
      </c>
    </row>
    <row r="42" spans="2:5" ht="21.95" customHeight="1" x14ac:dyDescent="0.25">
      <c r="B42" t="b">
        <v>0</v>
      </c>
      <c r="C42" s="4" t="s">
        <v>70</v>
      </c>
      <c r="D42" s="5" t="s">
        <v>84</v>
      </c>
      <c r="E42" s="6" t="s">
        <v>85</v>
      </c>
    </row>
    <row r="43" spans="2:5" ht="21.95" customHeight="1" x14ac:dyDescent="0.25">
      <c r="B43" t="b">
        <v>0</v>
      </c>
      <c r="C43" s="4" t="s">
        <v>70</v>
      </c>
      <c r="D43" s="5" t="s">
        <v>86</v>
      </c>
      <c r="E43" s="6" t="s">
        <v>87</v>
      </c>
    </row>
    <row r="44" spans="2:5" ht="21.95" customHeight="1" x14ac:dyDescent="0.25">
      <c r="B44" t="b">
        <v>0</v>
      </c>
      <c r="C44" s="4" t="s">
        <v>70</v>
      </c>
      <c r="D44" s="5" t="s">
        <v>88</v>
      </c>
      <c r="E44" s="6" t="s">
        <v>89</v>
      </c>
    </row>
    <row r="45" spans="2:5" ht="21.95" customHeight="1" x14ac:dyDescent="0.25">
      <c r="B45" t="b">
        <v>0</v>
      </c>
      <c r="C45" s="4" t="s">
        <v>70</v>
      </c>
      <c r="D45" s="5" t="s">
        <v>90</v>
      </c>
      <c r="E45" s="6" t="s">
        <v>91</v>
      </c>
    </row>
    <row r="46" spans="2:5" ht="21.95" customHeight="1" x14ac:dyDescent="0.25">
      <c r="B46" t="b">
        <v>0</v>
      </c>
      <c r="C46" s="4" t="s">
        <v>70</v>
      </c>
      <c r="D46" s="5" t="s">
        <v>92</v>
      </c>
      <c r="E46" s="6" t="s">
        <v>93</v>
      </c>
    </row>
    <row r="47" spans="2:5" ht="21.95" customHeight="1" x14ac:dyDescent="0.25">
      <c r="B47" t="b">
        <v>0</v>
      </c>
      <c r="C47" s="4" t="s">
        <v>70</v>
      </c>
      <c r="D47" s="5" t="s">
        <v>94</v>
      </c>
      <c r="E47" s="6" t="s">
        <v>95</v>
      </c>
    </row>
    <row r="48" spans="2:5" ht="21.95" customHeight="1" x14ac:dyDescent="0.25">
      <c r="B48" t="b">
        <v>0</v>
      </c>
      <c r="C48" s="4" t="s">
        <v>96</v>
      </c>
      <c r="D48" s="5" t="s">
        <v>97</v>
      </c>
      <c r="E48" s="6" t="s">
        <v>98</v>
      </c>
    </row>
    <row r="49" spans="2:5" ht="21.95" customHeight="1" x14ac:dyDescent="0.25">
      <c r="B49" t="b">
        <v>0</v>
      </c>
      <c r="C49" s="4" t="s">
        <v>99</v>
      </c>
      <c r="D49" s="5" t="s">
        <v>100</v>
      </c>
      <c r="E49" s="6" t="s">
        <v>101</v>
      </c>
    </row>
    <row r="50" spans="2:5" ht="21.95" customHeight="1" x14ac:dyDescent="0.25">
      <c r="B50" t="b">
        <v>0</v>
      </c>
      <c r="C50" s="4" t="s">
        <v>102</v>
      </c>
      <c r="D50" s="5" t="s">
        <v>103</v>
      </c>
      <c r="E50" s="6" t="s">
        <v>104</v>
      </c>
    </row>
    <row r="51" spans="2:5" ht="21.95" customHeight="1" x14ac:dyDescent="0.25">
      <c r="B51" t="b">
        <v>0</v>
      </c>
      <c r="C51" s="4" t="s">
        <v>102</v>
      </c>
      <c r="D51" s="5" t="s">
        <v>105</v>
      </c>
      <c r="E51" s="6" t="s">
        <v>106</v>
      </c>
    </row>
    <row r="52" spans="2:5" ht="21.95" customHeight="1" x14ac:dyDescent="0.25">
      <c r="B52" t="b">
        <v>0</v>
      </c>
      <c r="C52" s="4" t="s">
        <v>102</v>
      </c>
      <c r="D52" s="5" t="s">
        <v>107</v>
      </c>
      <c r="E52" s="6" t="s">
        <v>108</v>
      </c>
    </row>
    <row r="53" spans="2:5" ht="21.95" customHeight="1" x14ac:dyDescent="0.25">
      <c r="B53" t="b">
        <v>0</v>
      </c>
      <c r="C53" s="4" t="s">
        <v>102</v>
      </c>
      <c r="D53" s="5" t="s">
        <v>109</v>
      </c>
      <c r="E53" s="6" t="s">
        <v>110</v>
      </c>
    </row>
    <row r="54" spans="2:5" ht="21.95" customHeight="1" x14ac:dyDescent="0.25">
      <c r="B54" t="b">
        <v>0</v>
      </c>
      <c r="C54" s="4" t="s">
        <v>102</v>
      </c>
      <c r="D54" s="5" t="s">
        <v>111</v>
      </c>
      <c r="E54" s="6" t="s">
        <v>112</v>
      </c>
    </row>
    <row r="55" spans="2:5" ht="21.95" customHeight="1" x14ac:dyDescent="0.25">
      <c r="B55" t="b">
        <v>0</v>
      </c>
      <c r="C55" s="4" t="s">
        <v>102</v>
      </c>
      <c r="D55" s="5" t="s">
        <v>113</v>
      </c>
      <c r="E55" s="6" t="s">
        <v>114</v>
      </c>
    </row>
    <row r="57" spans="2:5" ht="294" x14ac:dyDescent="0.25">
      <c r="C57" s="2" t="s">
        <v>115</v>
      </c>
    </row>
  </sheetData>
  <mergeCells count="3">
    <mergeCell ref="A1:E1"/>
    <mergeCell ref="A2:E2"/>
    <mergeCell ref="A4:E4"/>
  </mergeCells>
  <pageMargins left="0.4" right="0.4" top="0.4" bottom="0.4" header="0.3" footer="0.3"/>
  <pageSetup paperSize="9"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5</xdr:row>
                    <xdr:rowOff>38100</xdr:rowOff>
                  </from>
                  <to>
                    <xdr:col>2</xdr:col>
                    <xdr:colOff>38100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6</xdr:row>
                    <xdr:rowOff>38100</xdr:rowOff>
                  </from>
                  <to>
                    <xdr:col>2</xdr:col>
                    <xdr:colOff>38100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7</xdr:row>
                    <xdr:rowOff>38100</xdr:rowOff>
                  </from>
                  <to>
                    <xdr:col>2</xdr:col>
                    <xdr:colOff>38100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8</xdr:row>
                    <xdr:rowOff>38100</xdr:rowOff>
                  </from>
                  <to>
                    <xdr:col>2</xdr:col>
                    <xdr:colOff>38100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9</xdr:row>
                    <xdr:rowOff>38100</xdr:rowOff>
                  </from>
                  <to>
                    <xdr:col>2</xdr:col>
                    <xdr:colOff>38100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10</xdr:row>
                    <xdr:rowOff>38100</xdr:rowOff>
                  </from>
                  <to>
                    <xdr:col>2</xdr:col>
                    <xdr:colOff>38100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11</xdr:row>
                    <xdr:rowOff>38100</xdr:rowOff>
                  </from>
                  <to>
                    <xdr:col>2</xdr:col>
                    <xdr:colOff>38100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12</xdr:row>
                    <xdr:rowOff>38100</xdr:rowOff>
                  </from>
                  <to>
                    <xdr:col>2</xdr:col>
                    <xdr:colOff>38100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13</xdr:row>
                    <xdr:rowOff>38100</xdr:rowOff>
                  </from>
                  <to>
                    <xdr:col>2</xdr:col>
                    <xdr:colOff>38100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14</xdr:row>
                    <xdr:rowOff>38100</xdr:rowOff>
                  </from>
                  <to>
                    <xdr:col>2</xdr:col>
                    <xdr:colOff>38100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15</xdr:row>
                    <xdr:rowOff>38100</xdr:rowOff>
                  </from>
                  <to>
                    <xdr:col>2</xdr:col>
                    <xdr:colOff>38100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16</xdr:row>
                    <xdr:rowOff>38100</xdr:rowOff>
                  </from>
                  <to>
                    <xdr:col>2</xdr:col>
                    <xdr:colOff>38100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heck Box 13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17</xdr:row>
                    <xdr:rowOff>38100</xdr:rowOff>
                  </from>
                  <to>
                    <xdr:col>2</xdr:col>
                    <xdr:colOff>38100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heck Box 14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18</xdr:row>
                    <xdr:rowOff>38100</xdr:rowOff>
                  </from>
                  <to>
                    <xdr:col>2</xdr:col>
                    <xdr:colOff>38100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Check Box 15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19</xdr:row>
                    <xdr:rowOff>38100</xdr:rowOff>
                  </from>
                  <to>
                    <xdr:col>2</xdr:col>
                    <xdr:colOff>38100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Check Box 16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20</xdr:row>
                    <xdr:rowOff>38100</xdr:rowOff>
                  </from>
                  <to>
                    <xdr:col>2</xdr:col>
                    <xdr:colOff>38100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Check Box 17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21</xdr:row>
                    <xdr:rowOff>38100</xdr:rowOff>
                  </from>
                  <to>
                    <xdr:col>2</xdr:col>
                    <xdr:colOff>38100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Check Box 18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22</xdr:row>
                    <xdr:rowOff>38100</xdr:rowOff>
                  </from>
                  <to>
                    <xdr:col>2</xdr:col>
                    <xdr:colOff>38100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Check Box 19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23</xdr:row>
                    <xdr:rowOff>38100</xdr:rowOff>
                  </from>
                  <to>
                    <xdr:col>2</xdr:col>
                    <xdr:colOff>38100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Check Box 20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24</xdr:row>
                    <xdr:rowOff>38100</xdr:rowOff>
                  </from>
                  <to>
                    <xdr:col>2</xdr:col>
                    <xdr:colOff>38100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Check Box 21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25</xdr:row>
                    <xdr:rowOff>38100</xdr:rowOff>
                  </from>
                  <to>
                    <xdr:col>2</xdr:col>
                    <xdr:colOff>38100</xdr:colOff>
                    <xdr:row>25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Check Box 22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26</xdr:row>
                    <xdr:rowOff>38100</xdr:rowOff>
                  </from>
                  <to>
                    <xdr:col>2</xdr:col>
                    <xdr:colOff>38100</xdr:colOff>
                    <xdr:row>26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Check Box 23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2</xdr:col>
                    <xdr:colOff>38100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Check Box 24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28</xdr:row>
                    <xdr:rowOff>38100</xdr:rowOff>
                  </from>
                  <to>
                    <xdr:col>2</xdr:col>
                    <xdr:colOff>38100</xdr:colOff>
                    <xdr:row>28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Check Box 25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29</xdr:row>
                    <xdr:rowOff>38100</xdr:rowOff>
                  </from>
                  <to>
                    <xdr:col>2</xdr:col>
                    <xdr:colOff>38100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Check Box 26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30</xdr:row>
                    <xdr:rowOff>38100</xdr:rowOff>
                  </from>
                  <to>
                    <xdr:col>2</xdr:col>
                    <xdr:colOff>38100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9" name="Check Box 27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31</xdr:row>
                    <xdr:rowOff>38100</xdr:rowOff>
                  </from>
                  <to>
                    <xdr:col>2</xdr:col>
                    <xdr:colOff>38100</xdr:colOff>
                    <xdr:row>31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0" name="Check Box 28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32</xdr:row>
                    <xdr:rowOff>38100</xdr:rowOff>
                  </from>
                  <to>
                    <xdr:col>2</xdr:col>
                    <xdr:colOff>38100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1" name="Check Box 29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33</xdr:row>
                    <xdr:rowOff>38100</xdr:rowOff>
                  </from>
                  <to>
                    <xdr:col>2</xdr:col>
                    <xdr:colOff>38100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2" name="Check Box 30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34</xdr:row>
                    <xdr:rowOff>38100</xdr:rowOff>
                  </from>
                  <to>
                    <xdr:col>2</xdr:col>
                    <xdr:colOff>38100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3" name="Check Box 31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35</xdr:row>
                    <xdr:rowOff>38100</xdr:rowOff>
                  </from>
                  <to>
                    <xdr:col>2</xdr:col>
                    <xdr:colOff>38100</xdr:colOff>
                    <xdr:row>35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4" name="Check Box 32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36</xdr:row>
                    <xdr:rowOff>38100</xdr:rowOff>
                  </from>
                  <to>
                    <xdr:col>2</xdr:col>
                    <xdr:colOff>38100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5" name="Check Box 33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37</xdr:row>
                    <xdr:rowOff>38100</xdr:rowOff>
                  </from>
                  <to>
                    <xdr:col>2</xdr:col>
                    <xdr:colOff>38100</xdr:colOff>
                    <xdr:row>37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6" name="Check Box 34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38</xdr:row>
                    <xdr:rowOff>38100</xdr:rowOff>
                  </from>
                  <to>
                    <xdr:col>2</xdr:col>
                    <xdr:colOff>38100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7" name="Check Box 35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39</xdr:row>
                    <xdr:rowOff>38100</xdr:rowOff>
                  </from>
                  <to>
                    <xdr:col>2</xdr:col>
                    <xdr:colOff>38100</xdr:colOff>
                    <xdr:row>39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" name="Check Box 36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40</xdr:row>
                    <xdr:rowOff>38100</xdr:rowOff>
                  </from>
                  <to>
                    <xdr:col>2</xdr:col>
                    <xdr:colOff>38100</xdr:colOff>
                    <xdr:row>40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9" name="Check Box 37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41</xdr:row>
                    <xdr:rowOff>38100</xdr:rowOff>
                  </from>
                  <to>
                    <xdr:col>2</xdr:col>
                    <xdr:colOff>38100</xdr:colOff>
                    <xdr:row>41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0" name="Check Box 38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42</xdr:row>
                    <xdr:rowOff>38100</xdr:rowOff>
                  </from>
                  <to>
                    <xdr:col>2</xdr:col>
                    <xdr:colOff>38100</xdr:colOff>
                    <xdr:row>42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1" name="Check Box 39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43</xdr:row>
                    <xdr:rowOff>38100</xdr:rowOff>
                  </from>
                  <to>
                    <xdr:col>2</xdr:col>
                    <xdr:colOff>38100</xdr:colOff>
                    <xdr:row>43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2" name="Check Box 40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44</xdr:row>
                    <xdr:rowOff>38100</xdr:rowOff>
                  </from>
                  <to>
                    <xdr:col>2</xdr:col>
                    <xdr:colOff>38100</xdr:colOff>
                    <xdr:row>44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3" name="Check Box 41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45</xdr:row>
                    <xdr:rowOff>38100</xdr:rowOff>
                  </from>
                  <to>
                    <xdr:col>2</xdr:col>
                    <xdr:colOff>38100</xdr:colOff>
                    <xdr:row>45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4" name="Check Box 42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46</xdr:row>
                    <xdr:rowOff>38100</xdr:rowOff>
                  </from>
                  <to>
                    <xdr:col>2</xdr:col>
                    <xdr:colOff>38100</xdr:colOff>
                    <xdr:row>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5" name="Check Box 43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47</xdr:row>
                    <xdr:rowOff>38100</xdr:rowOff>
                  </from>
                  <to>
                    <xdr:col>2</xdr:col>
                    <xdr:colOff>38100</xdr:colOff>
                    <xdr:row>47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6" name="Check Box 44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48</xdr:row>
                    <xdr:rowOff>38100</xdr:rowOff>
                  </from>
                  <to>
                    <xdr:col>2</xdr:col>
                    <xdr:colOff>38100</xdr:colOff>
                    <xdr:row>48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7" name="Check Box 45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49</xdr:row>
                    <xdr:rowOff>38100</xdr:rowOff>
                  </from>
                  <to>
                    <xdr:col>2</xdr:col>
                    <xdr:colOff>38100</xdr:colOff>
                    <xdr:row>49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8" name="Check Box 46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50</xdr:row>
                    <xdr:rowOff>38100</xdr:rowOff>
                  </from>
                  <to>
                    <xdr:col>2</xdr:col>
                    <xdr:colOff>38100</xdr:colOff>
                    <xdr:row>50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9" name="Check Box 47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51</xdr:row>
                    <xdr:rowOff>38100</xdr:rowOff>
                  </from>
                  <to>
                    <xdr:col>2</xdr:col>
                    <xdr:colOff>38100</xdr:colOff>
                    <xdr:row>51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0" name="Check Box 48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52</xdr:row>
                    <xdr:rowOff>38100</xdr:rowOff>
                  </from>
                  <to>
                    <xdr:col>2</xdr:col>
                    <xdr:colOff>38100</xdr:colOff>
                    <xdr:row>52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1" name="Check Box 49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53</xdr:row>
                    <xdr:rowOff>38100</xdr:rowOff>
                  </from>
                  <to>
                    <xdr:col>2</xdr:col>
                    <xdr:colOff>38100</xdr:colOff>
                    <xdr:row>53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2" name="Check Box 50">
              <controlPr defaultSize="0" print="0" autoFill="0" autoLine="0" autoPict="0" macro="AtualizarImpressao">
                <anchor moveWithCells="1">
                  <from>
                    <xdr:col>0</xdr:col>
                    <xdr:colOff>57150</xdr:colOff>
                    <xdr:row>54</xdr:row>
                    <xdr:rowOff>38100</xdr:rowOff>
                  </from>
                  <to>
                    <xdr:col>2</xdr:col>
                    <xdr:colOff>38100</xdr:colOff>
                    <xdr:row>54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3" name="Button 51">
              <controlPr defaultSize="0" print="0" autoFill="0" autoPict="0" macro="ImprimirGraficosSelecionados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123825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4" name="Button 52">
              <controlPr defaultSize="0" print="0" autoFill="0" autoPict="0" macro="ImprimirGraficosTodos">
                <anchor moveWithCells="1" sizeWithCells="1">
                  <from>
                    <xdr:col>5</xdr:col>
                    <xdr:colOff>0</xdr:colOff>
                    <xdr:row>2</xdr:row>
                    <xdr:rowOff>323850</xdr:rowOff>
                  </from>
                  <to>
                    <xdr:col>6</xdr:col>
                    <xdr:colOff>123825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5" name="Option Button 53">
              <controlPr defaultSize="0" autoFill="0" autoLine="0" autoPict="0">
                <anchor moveWithCells="1">
                  <from>
                    <xdr:col>6</xdr:col>
                    <xdr:colOff>314325</xdr:colOff>
                    <xdr:row>2</xdr:row>
                    <xdr:rowOff>0</xdr:rowOff>
                  </from>
                  <to>
                    <xdr:col>8</xdr:col>
                    <xdr:colOff>390525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6" name="Option Button 54">
              <controlPr defaultSize="0" autoFill="0" autoLine="0" autoPict="0">
                <anchor moveWithCells="1">
                  <from>
                    <xdr:col>6</xdr:col>
                    <xdr:colOff>314325</xdr:colOff>
                    <xdr:row>2</xdr:row>
                    <xdr:rowOff>276225</xdr:rowOff>
                  </from>
                  <to>
                    <xdr:col>8</xdr:col>
                    <xdr:colOff>390525</xdr:colOff>
                    <xdr:row>2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7D3C98"/>
    <pageSetUpPr fitToPage="1"/>
  </sheetPr>
  <dimension ref="A1:F503"/>
  <sheetViews>
    <sheetView showGridLines="0" workbookViewId="0"/>
  </sheetViews>
  <sheetFormatPr defaultRowHeight="15" x14ac:dyDescent="0.25"/>
  <cols>
    <col min="1" max="1" width="14.7109375" customWidth="1"/>
    <col min="2" max="2" width="26.7109375" customWidth="1"/>
    <col min="3" max="3" width="14.7109375" customWidth="1"/>
    <col min="4" max="4" width="28.7109375" customWidth="1"/>
    <col min="5" max="5" width="22.7109375" customWidth="1"/>
    <col min="6" max="6" width="32.7109375" customWidth="1"/>
  </cols>
  <sheetData>
    <row r="1" spans="1:6" ht="21.95" customHeight="1" x14ac:dyDescent="0.25">
      <c r="A1" s="22" t="s">
        <v>116</v>
      </c>
      <c r="B1" s="22"/>
      <c r="C1" s="22"/>
      <c r="D1" s="22"/>
      <c r="E1" s="22"/>
      <c r="F1" s="22"/>
    </row>
    <row r="2" spans="1:6" x14ac:dyDescent="0.25">
      <c r="A2" s="23" t="s">
        <v>117</v>
      </c>
      <c r="B2" s="23"/>
      <c r="C2" s="23"/>
      <c r="D2" s="23"/>
      <c r="E2" s="23"/>
      <c r="F2" s="23"/>
    </row>
    <row r="4" spans="1:6" ht="20.100000000000001" customHeight="1" x14ac:dyDescent="0.25">
      <c r="A4" s="25" t="s">
        <v>8</v>
      </c>
      <c r="B4" s="25"/>
      <c r="C4" s="25"/>
      <c r="D4" s="25"/>
      <c r="E4" s="25"/>
      <c r="F4" s="25"/>
    </row>
    <row r="5" spans="1:6" ht="18" customHeight="1" x14ac:dyDescent="0.25">
      <c r="A5" s="26" t="s">
        <v>9</v>
      </c>
      <c r="B5" s="26"/>
      <c r="C5" s="26"/>
      <c r="D5" s="26"/>
      <c r="E5" s="26"/>
      <c r="F5" s="26"/>
    </row>
    <row r="6" spans="1:6" x14ac:dyDescent="0.25">
      <c r="A6" s="7" t="s">
        <v>10</v>
      </c>
    </row>
    <row r="7" spans="1:6" x14ac:dyDescent="0.25">
      <c r="A7" s="8" t="s">
        <v>118</v>
      </c>
      <c r="B7" s="8" t="s">
        <v>119</v>
      </c>
      <c r="C7" s="8" t="s">
        <v>120</v>
      </c>
      <c r="D7" s="8" t="s">
        <v>121</v>
      </c>
      <c r="E7" s="8" t="s">
        <v>122</v>
      </c>
      <c r="F7" s="8" t="s">
        <v>123</v>
      </c>
    </row>
    <row r="8" spans="1:6" ht="18" customHeight="1" x14ac:dyDescent="0.25">
      <c r="A8" s="9">
        <v>44306</v>
      </c>
      <c r="B8" s="10">
        <v>15</v>
      </c>
      <c r="C8" s="11" t="s">
        <v>124</v>
      </c>
      <c r="D8" s="11" t="s">
        <v>125</v>
      </c>
      <c r="E8" s="11" t="s">
        <v>126</v>
      </c>
      <c r="F8" s="12" t="s">
        <v>127</v>
      </c>
    </row>
    <row r="9" spans="1:6" ht="18" customHeight="1" x14ac:dyDescent="0.25">
      <c r="A9" s="13">
        <v>44548</v>
      </c>
      <c r="B9" s="14">
        <v>18</v>
      </c>
      <c r="C9" s="15" t="s">
        <v>124</v>
      </c>
      <c r="D9" s="15" t="s">
        <v>128</v>
      </c>
      <c r="E9" s="15" t="s">
        <v>129</v>
      </c>
      <c r="F9" s="16" t="s">
        <v>130</v>
      </c>
    </row>
    <row r="10" spans="1:6" ht="27.95" customHeight="1" x14ac:dyDescent="0.25">
      <c r="A10" s="9">
        <v>45580</v>
      </c>
      <c r="B10" s="10">
        <v>39</v>
      </c>
      <c r="C10" s="11" t="s">
        <v>124</v>
      </c>
      <c r="D10" s="11" t="s">
        <v>131</v>
      </c>
      <c r="E10" s="11"/>
      <c r="F10" s="12" t="s">
        <v>132</v>
      </c>
    </row>
    <row r="11" spans="1:6" ht="18" customHeight="1" x14ac:dyDescent="0.25">
      <c r="A11" s="13">
        <v>45866</v>
      </c>
      <c r="B11" s="14">
        <v>122</v>
      </c>
      <c r="C11" s="15" t="s">
        <v>124</v>
      </c>
      <c r="D11" s="15" t="s">
        <v>131</v>
      </c>
      <c r="E11" s="15" t="s">
        <v>133</v>
      </c>
      <c r="F11" s="16" t="s">
        <v>134</v>
      </c>
    </row>
    <row r="12" spans="1:6" ht="18" customHeight="1" x14ac:dyDescent="0.25">
      <c r="A12" s="9">
        <v>46056</v>
      </c>
      <c r="B12" s="10">
        <v>68</v>
      </c>
      <c r="C12" s="11" t="s">
        <v>124</v>
      </c>
      <c r="D12" s="11" t="s">
        <v>131</v>
      </c>
      <c r="E12" s="11" t="s">
        <v>135</v>
      </c>
      <c r="F12" s="12" t="s">
        <v>136</v>
      </c>
    </row>
    <row r="13" spans="1:6" ht="27.95" customHeight="1" x14ac:dyDescent="0.25">
      <c r="A13" s="13">
        <v>46251</v>
      </c>
      <c r="B13" s="14">
        <v>173</v>
      </c>
      <c r="C13" s="15" t="s">
        <v>124</v>
      </c>
      <c r="D13" s="15" t="s">
        <v>137</v>
      </c>
      <c r="E13" s="15" t="s">
        <v>138</v>
      </c>
      <c r="F13" s="16" t="s">
        <v>139</v>
      </c>
    </row>
    <row r="14" spans="1:6" s="17" customFormat="1" ht="8.1" customHeight="1" x14ac:dyDescent="0.15"/>
    <row r="15" spans="1:6" ht="18" customHeight="1" x14ac:dyDescent="0.25">
      <c r="A15" s="26" t="s">
        <v>11</v>
      </c>
      <c r="B15" s="26"/>
      <c r="C15" s="26"/>
      <c r="D15" s="26"/>
      <c r="E15" s="26"/>
      <c r="F15" s="26"/>
    </row>
    <row r="16" spans="1:6" x14ac:dyDescent="0.25">
      <c r="A16" s="7" t="s">
        <v>12</v>
      </c>
    </row>
    <row r="17" spans="1:6" x14ac:dyDescent="0.25">
      <c r="A17" s="8" t="s">
        <v>118</v>
      </c>
      <c r="B17" s="8" t="s">
        <v>119</v>
      </c>
      <c r="C17" s="8" t="s">
        <v>120</v>
      </c>
      <c r="D17" s="8" t="s">
        <v>121</v>
      </c>
      <c r="E17" s="8" t="s">
        <v>122</v>
      </c>
      <c r="F17" s="8" t="s">
        <v>123</v>
      </c>
    </row>
    <row r="18" spans="1:6" ht="18" customHeight="1" x14ac:dyDescent="0.25">
      <c r="A18" s="9">
        <v>44306</v>
      </c>
      <c r="B18" s="10">
        <v>1</v>
      </c>
      <c r="C18" s="11" t="s">
        <v>140</v>
      </c>
      <c r="D18" s="11" t="s">
        <v>141</v>
      </c>
      <c r="E18" s="11"/>
      <c r="F18" s="12" t="s">
        <v>127</v>
      </c>
    </row>
    <row r="19" spans="1:6" ht="18" customHeight="1" x14ac:dyDescent="0.25">
      <c r="A19" s="13">
        <v>44548</v>
      </c>
      <c r="B19" s="14">
        <v>1.5</v>
      </c>
      <c r="C19" s="15" t="s">
        <v>140</v>
      </c>
      <c r="D19" s="15" t="s">
        <v>141</v>
      </c>
      <c r="E19" s="15"/>
      <c r="F19" s="16" t="s">
        <v>130</v>
      </c>
    </row>
    <row r="20" spans="1:6" ht="27.95" customHeight="1" x14ac:dyDescent="0.25">
      <c r="A20" s="9">
        <v>45580</v>
      </c>
      <c r="B20" s="10">
        <v>2</v>
      </c>
      <c r="C20" s="11" t="s">
        <v>140</v>
      </c>
      <c r="D20" s="11" t="s">
        <v>141</v>
      </c>
      <c r="E20" s="11"/>
      <c r="F20" s="12" t="s">
        <v>132</v>
      </c>
    </row>
    <row r="21" spans="1:6" ht="18" customHeight="1" x14ac:dyDescent="0.25">
      <c r="A21" s="13">
        <v>45866</v>
      </c>
      <c r="B21" s="14">
        <v>3.6</v>
      </c>
      <c r="C21" s="15" t="s">
        <v>140</v>
      </c>
      <c r="D21" s="15" t="s">
        <v>141</v>
      </c>
      <c r="E21" s="15" t="s">
        <v>142</v>
      </c>
      <c r="F21" s="16" t="s">
        <v>134</v>
      </c>
    </row>
    <row r="22" spans="1:6" ht="27.95" customHeight="1" x14ac:dyDescent="0.25">
      <c r="A22" s="9">
        <v>46246</v>
      </c>
      <c r="B22" s="10">
        <v>3.3</v>
      </c>
      <c r="C22" s="11" t="s">
        <v>140</v>
      </c>
      <c r="D22" s="11" t="s">
        <v>143</v>
      </c>
      <c r="E22" s="11"/>
      <c r="F22" s="12" t="s">
        <v>144</v>
      </c>
    </row>
    <row r="23" spans="1:6" s="17" customFormat="1" ht="8.1" customHeight="1" x14ac:dyDescent="0.15"/>
    <row r="24" spans="1:6" ht="18" customHeight="1" x14ac:dyDescent="0.25">
      <c r="A24" s="26" t="s">
        <v>13</v>
      </c>
      <c r="B24" s="26"/>
      <c r="C24" s="26"/>
      <c r="D24" s="26"/>
      <c r="E24" s="26"/>
      <c r="F24" s="26"/>
    </row>
    <row r="25" spans="1:6" x14ac:dyDescent="0.25">
      <c r="A25" s="7" t="s">
        <v>14</v>
      </c>
    </row>
    <row r="26" spans="1:6" x14ac:dyDescent="0.25">
      <c r="A26" s="8" t="s">
        <v>118</v>
      </c>
      <c r="B26" s="8" t="s">
        <v>119</v>
      </c>
      <c r="C26" s="8" t="s">
        <v>120</v>
      </c>
      <c r="D26" s="8" t="s">
        <v>121</v>
      </c>
      <c r="E26" s="8" t="s">
        <v>122</v>
      </c>
      <c r="F26" s="8" t="s">
        <v>123</v>
      </c>
    </row>
    <row r="27" spans="1:6" ht="18" customHeight="1" x14ac:dyDescent="0.25">
      <c r="A27" s="9">
        <v>44537</v>
      </c>
      <c r="B27" s="10">
        <v>1.08</v>
      </c>
      <c r="C27" s="11" t="s">
        <v>124</v>
      </c>
      <c r="D27" s="11" t="s">
        <v>145</v>
      </c>
      <c r="E27" s="11"/>
      <c r="F27" s="12" t="s">
        <v>130</v>
      </c>
    </row>
    <row r="28" spans="1:6" ht="18" customHeight="1" x14ac:dyDescent="0.25">
      <c r="A28" s="13">
        <v>45670</v>
      </c>
      <c r="B28" s="14">
        <v>2.17</v>
      </c>
      <c r="C28" s="15" t="s">
        <v>124</v>
      </c>
      <c r="D28" s="15" t="s">
        <v>146</v>
      </c>
      <c r="E28" s="15" t="s">
        <v>147</v>
      </c>
      <c r="F28" s="16" t="s">
        <v>148</v>
      </c>
    </row>
    <row r="29" spans="1:6" s="17" customFormat="1" ht="8.1" customHeight="1" x14ac:dyDescent="0.15"/>
    <row r="30" spans="1:6" ht="18" customHeight="1" x14ac:dyDescent="0.25">
      <c r="A30" s="26" t="s">
        <v>15</v>
      </c>
      <c r="B30" s="26"/>
      <c r="C30" s="26"/>
      <c r="D30" s="26"/>
      <c r="E30" s="26"/>
      <c r="F30" s="26"/>
    </row>
    <row r="31" spans="1:6" x14ac:dyDescent="0.25">
      <c r="A31" s="7" t="s">
        <v>16</v>
      </c>
    </row>
    <row r="32" spans="1:6" x14ac:dyDescent="0.25">
      <c r="A32" s="8" t="s">
        <v>149</v>
      </c>
      <c r="B32" s="8" t="s">
        <v>150</v>
      </c>
      <c r="C32" s="8" t="s">
        <v>151</v>
      </c>
      <c r="D32" s="8" t="s">
        <v>152</v>
      </c>
      <c r="E32" s="8" t="s">
        <v>122</v>
      </c>
      <c r="F32" s="8" t="s">
        <v>123</v>
      </c>
    </row>
    <row r="33" spans="1:6" ht="18" customHeight="1" x14ac:dyDescent="0.25">
      <c r="A33" s="11" t="s">
        <v>153</v>
      </c>
      <c r="B33" s="10">
        <v>2.17</v>
      </c>
      <c r="C33" s="11"/>
      <c r="D33" s="10">
        <v>10.3</v>
      </c>
      <c r="E33" s="11"/>
      <c r="F33" s="12" t="s">
        <v>154</v>
      </c>
    </row>
    <row r="34" spans="1:6" ht="18" customHeight="1" x14ac:dyDescent="0.25">
      <c r="A34" s="15" t="s">
        <v>155</v>
      </c>
      <c r="B34" s="14">
        <v>0.43</v>
      </c>
      <c r="C34" s="14">
        <v>199</v>
      </c>
      <c r="D34" s="14">
        <v>12.1</v>
      </c>
      <c r="E34" s="15"/>
      <c r="F34" s="16" t="s">
        <v>154</v>
      </c>
    </row>
    <row r="35" spans="1:6" ht="18" customHeight="1" x14ac:dyDescent="0.25">
      <c r="A35" s="11" t="s">
        <v>156</v>
      </c>
      <c r="B35" s="10">
        <v>1.06</v>
      </c>
      <c r="C35" s="10">
        <v>112</v>
      </c>
      <c r="D35" s="10">
        <v>15.6</v>
      </c>
      <c r="E35" s="11"/>
      <c r="F35" s="12" t="s">
        <v>154</v>
      </c>
    </row>
    <row r="36" spans="1:6" ht="18" customHeight="1" x14ac:dyDescent="0.25">
      <c r="A36" s="15" t="s">
        <v>157</v>
      </c>
      <c r="B36" s="14">
        <v>3.07</v>
      </c>
      <c r="C36" s="14">
        <v>73</v>
      </c>
      <c r="D36" s="14">
        <v>29</v>
      </c>
      <c r="E36" s="15" t="s">
        <v>158</v>
      </c>
      <c r="F36" s="16" t="s">
        <v>154</v>
      </c>
    </row>
    <row r="37" spans="1:6" ht="18" customHeight="1" x14ac:dyDescent="0.25">
      <c r="A37" s="11" t="s">
        <v>159</v>
      </c>
      <c r="B37" s="10">
        <v>0.97</v>
      </c>
      <c r="C37" s="10">
        <v>70</v>
      </c>
      <c r="D37" s="10">
        <v>22.2</v>
      </c>
      <c r="E37" s="11" t="s">
        <v>160</v>
      </c>
      <c r="F37" s="12" t="s">
        <v>154</v>
      </c>
    </row>
    <row r="38" spans="1:6" s="17" customFormat="1" ht="8.1" customHeight="1" x14ac:dyDescent="0.15"/>
    <row r="39" spans="1:6" ht="20.100000000000001" customHeight="1" x14ac:dyDescent="0.25">
      <c r="A39" s="25" t="s">
        <v>17</v>
      </c>
      <c r="B39" s="25"/>
      <c r="C39" s="25"/>
      <c r="D39" s="25"/>
      <c r="E39" s="25"/>
      <c r="F39" s="25"/>
    </row>
    <row r="40" spans="1:6" ht="18" customHeight="1" x14ac:dyDescent="0.25">
      <c r="A40" s="26" t="s">
        <v>18</v>
      </c>
      <c r="B40" s="26"/>
      <c r="C40" s="26"/>
      <c r="D40" s="26"/>
      <c r="E40" s="26"/>
      <c r="F40" s="26"/>
    </row>
    <row r="41" spans="1:6" x14ac:dyDescent="0.25">
      <c r="A41" s="7" t="s">
        <v>19</v>
      </c>
    </row>
    <row r="42" spans="1:6" x14ac:dyDescent="0.25">
      <c r="A42" s="8" t="s">
        <v>118</v>
      </c>
      <c r="B42" s="8" t="s">
        <v>161</v>
      </c>
      <c r="C42" s="8" t="s">
        <v>162</v>
      </c>
      <c r="D42" s="8" t="s">
        <v>163</v>
      </c>
      <c r="E42" s="8" t="s">
        <v>122</v>
      </c>
      <c r="F42" s="8" t="s">
        <v>123</v>
      </c>
    </row>
    <row r="43" spans="1:6" ht="18" customHeight="1" x14ac:dyDescent="0.25">
      <c r="A43" s="9">
        <v>45698</v>
      </c>
      <c r="B43" s="11" t="s">
        <v>164</v>
      </c>
      <c r="C43" s="11" t="s">
        <v>165</v>
      </c>
      <c r="D43" s="11" t="s">
        <v>166</v>
      </c>
      <c r="E43" s="11"/>
      <c r="F43" s="12" t="s">
        <v>167</v>
      </c>
    </row>
    <row r="44" spans="1:6" ht="18" customHeight="1" x14ac:dyDescent="0.25">
      <c r="A44" s="13">
        <v>46071</v>
      </c>
      <c r="B44" s="15" t="s">
        <v>168</v>
      </c>
      <c r="C44" s="15" t="s">
        <v>169</v>
      </c>
      <c r="D44" s="15" t="s">
        <v>166</v>
      </c>
      <c r="E44" s="15" t="s">
        <v>170</v>
      </c>
      <c r="F44" s="16" t="s">
        <v>171</v>
      </c>
    </row>
    <row r="45" spans="1:6" ht="18" customHeight="1" x14ac:dyDescent="0.25">
      <c r="A45" s="9">
        <v>46232</v>
      </c>
      <c r="B45" s="11" t="s">
        <v>172</v>
      </c>
      <c r="C45" s="11" t="s">
        <v>173</v>
      </c>
      <c r="D45" s="11" t="s">
        <v>174</v>
      </c>
      <c r="E45" s="11" t="s">
        <v>175</v>
      </c>
      <c r="F45" s="12" t="s">
        <v>176</v>
      </c>
    </row>
    <row r="46" spans="1:6" s="17" customFormat="1" ht="8.1" customHeight="1" x14ac:dyDescent="0.15"/>
    <row r="47" spans="1:6" ht="20.100000000000001" customHeight="1" x14ac:dyDescent="0.25">
      <c r="A47" s="25" t="s">
        <v>20</v>
      </c>
      <c r="B47" s="25"/>
      <c r="C47" s="25"/>
      <c r="D47" s="25"/>
      <c r="E47" s="25"/>
      <c r="F47" s="25"/>
    </row>
    <row r="48" spans="1:6" ht="18" customHeight="1" x14ac:dyDescent="0.25">
      <c r="A48" s="26" t="s">
        <v>21</v>
      </c>
      <c r="B48" s="26"/>
      <c r="C48" s="26"/>
      <c r="D48" s="26"/>
      <c r="E48" s="26"/>
      <c r="F48" s="26"/>
    </row>
    <row r="49" spans="1:6" x14ac:dyDescent="0.25">
      <c r="A49" s="7" t="s">
        <v>22</v>
      </c>
    </row>
    <row r="50" spans="1:6" x14ac:dyDescent="0.25">
      <c r="A50" s="8" t="s">
        <v>118</v>
      </c>
      <c r="B50" s="8" t="s">
        <v>119</v>
      </c>
      <c r="C50" s="8" t="s">
        <v>120</v>
      </c>
      <c r="D50" s="8" t="s">
        <v>121</v>
      </c>
      <c r="E50" s="8" t="s">
        <v>122</v>
      </c>
      <c r="F50" s="8" t="s">
        <v>123</v>
      </c>
    </row>
    <row r="51" spans="1:6" ht="18" customHeight="1" x14ac:dyDescent="0.25">
      <c r="A51" s="9">
        <v>44306</v>
      </c>
      <c r="B51" s="10">
        <v>3.43</v>
      </c>
      <c r="C51" s="11" t="s">
        <v>177</v>
      </c>
      <c r="D51" s="11" t="s">
        <v>178</v>
      </c>
      <c r="E51" s="11" t="s">
        <v>179</v>
      </c>
      <c r="F51" s="12" t="s">
        <v>127</v>
      </c>
    </row>
    <row r="52" spans="1:6" ht="18" customHeight="1" x14ac:dyDescent="0.25">
      <c r="A52" s="13">
        <v>44537</v>
      </c>
      <c r="B52" s="14">
        <v>2.56</v>
      </c>
      <c r="C52" s="15" t="s">
        <v>177</v>
      </c>
      <c r="D52" s="15" t="s">
        <v>178</v>
      </c>
      <c r="E52" s="15"/>
      <c r="F52" s="16" t="s">
        <v>130</v>
      </c>
    </row>
    <row r="53" spans="1:6" ht="27.95" customHeight="1" x14ac:dyDescent="0.25">
      <c r="A53" s="9">
        <v>45580</v>
      </c>
      <c r="B53" s="10">
        <v>2.36</v>
      </c>
      <c r="C53" s="11" t="s">
        <v>177</v>
      </c>
      <c r="D53" s="11" t="s">
        <v>178</v>
      </c>
      <c r="E53" s="11"/>
      <c r="F53" s="12" t="s">
        <v>132</v>
      </c>
    </row>
    <row r="54" spans="1:6" ht="18" customHeight="1" x14ac:dyDescent="0.25">
      <c r="A54" s="13">
        <v>45866</v>
      </c>
      <c r="B54" s="14">
        <v>1.92</v>
      </c>
      <c r="C54" s="15" t="s">
        <v>177</v>
      </c>
      <c r="D54" s="15" t="s">
        <v>178</v>
      </c>
      <c r="E54" s="15"/>
      <c r="F54" s="16" t="s">
        <v>134</v>
      </c>
    </row>
    <row r="55" spans="1:6" ht="18" customHeight="1" x14ac:dyDescent="0.25">
      <c r="A55" s="9">
        <v>46056</v>
      </c>
      <c r="B55" s="10">
        <v>1.42</v>
      </c>
      <c r="C55" s="11" t="s">
        <v>177</v>
      </c>
      <c r="D55" s="11" t="s">
        <v>178</v>
      </c>
      <c r="E55" s="11"/>
      <c r="F55" s="12" t="s">
        <v>136</v>
      </c>
    </row>
    <row r="56" spans="1:6" ht="27.95" customHeight="1" x14ac:dyDescent="0.25">
      <c r="A56" s="13">
        <v>46246</v>
      </c>
      <c r="B56" s="14">
        <v>1.5</v>
      </c>
      <c r="C56" s="15" t="s">
        <v>177</v>
      </c>
      <c r="D56" s="15" t="s">
        <v>178</v>
      </c>
      <c r="E56" s="15"/>
      <c r="F56" s="16" t="s">
        <v>144</v>
      </c>
    </row>
    <row r="57" spans="1:6" s="17" customFormat="1" ht="8.1" customHeight="1" x14ac:dyDescent="0.15"/>
    <row r="58" spans="1:6" ht="18" customHeight="1" x14ac:dyDescent="0.25">
      <c r="A58" s="26" t="s">
        <v>23</v>
      </c>
      <c r="B58" s="26"/>
      <c r="C58" s="26"/>
      <c r="D58" s="26"/>
      <c r="E58" s="26"/>
      <c r="F58" s="26"/>
    </row>
    <row r="59" spans="1:6" x14ac:dyDescent="0.25">
      <c r="A59" s="7" t="s">
        <v>24</v>
      </c>
    </row>
    <row r="60" spans="1:6" x14ac:dyDescent="0.25">
      <c r="A60" s="8" t="s">
        <v>118</v>
      </c>
      <c r="B60" s="8" t="s">
        <v>119</v>
      </c>
      <c r="C60" s="8" t="s">
        <v>120</v>
      </c>
      <c r="D60" s="8" t="s">
        <v>121</v>
      </c>
      <c r="E60" s="8" t="s">
        <v>122</v>
      </c>
      <c r="F60" s="8" t="s">
        <v>123</v>
      </c>
    </row>
    <row r="61" spans="1:6" ht="18" customHeight="1" x14ac:dyDescent="0.25">
      <c r="A61" s="9">
        <v>44306</v>
      </c>
      <c r="B61" s="10">
        <v>1.22</v>
      </c>
      <c r="C61" s="11" t="s">
        <v>180</v>
      </c>
      <c r="D61" s="11" t="s">
        <v>181</v>
      </c>
      <c r="E61" s="11" t="s">
        <v>179</v>
      </c>
      <c r="F61" s="12" t="s">
        <v>127</v>
      </c>
    </row>
    <row r="62" spans="1:6" ht="18" customHeight="1" x14ac:dyDescent="0.25">
      <c r="A62" s="13">
        <v>44537</v>
      </c>
      <c r="B62" s="14">
        <v>1.07</v>
      </c>
      <c r="C62" s="15" t="s">
        <v>180</v>
      </c>
      <c r="D62" s="15" t="s">
        <v>181</v>
      </c>
      <c r="E62" s="15"/>
      <c r="F62" s="16" t="s">
        <v>130</v>
      </c>
    </row>
    <row r="63" spans="1:6" ht="27.95" customHeight="1" x14ac:dyDescent="0.25">
      <c r="A63" s="9">
        <v>45580</v>
      </c>
      <c r="B63" s="10">
        <v>1.1499999999999999</v>
      </c>
      <c r="C63" s="11" t="s">
        <v>180</v>
      </c>
      <c r="D63" s="11" t="s">
        <v>181</v>
      </c>
      <c r="E63" s="11"/>
      <c r="F63" s="12" t="s">
        <v>132</v>
      </c>
    </row>
    <row r="64" spans="1:6" ht="18" customHeight="1" x14ac:dyDescent="0.25">
      <c r="A64" s="13">
        <v>45866</v>
      </c>
      <c r="B64" s="14">
        <v>1.2</v>
      </c>
      <c r="C64" s="15" t="s">
        <v>180</v>
      </c>
      <c r="D64" s="15" t="s">
        <v>181</v>
      </c>
      <c r="E64" s="15"/>
      <c r="F64" s="16" t="s">
        <v>134</v>
      </c>
    </row>
    <row r="65" spans="1:6" ht="18" customHeight="1" x14ac:dyDescent="0.25">
      <c r="A65" s="9">
        <v>46056</v>
      </c>
      <c r="B65" s="10">
        <v>1.29</v>
      </c>
      <c r="C65" s="11" t="s">
        <v>180</v>
      </c>
      <c r="D65" s="11" t="s">
        <v>181</v>
      </c>
      <c r="E65" s="11"/>
      <c r="F65" s="12" t="s">
        <v>136</v>
      </c>
    </row>
    <row r="66" spans="1:6" ht="27.95" customHeight="1" x14ac:dyDescent="0.25">
      <c r="A66" s="13">
        <v>46246</v>
      </c>
      <c r="B66" s="14">
        <v>1.23</v>
      </c>
      <c r="C66" s="15" t="s">
        <v>180</v>
      </c>
      <c r="D66" s="15" t="s">
        <v>182</v>
      </c>
      <c r="E66" s="15"/>
      <c r="F66" s="16" t="s">
        <v>144</v>
      </c>
    </row>
    <row r="67" spans="1:6" s="17" customFormat="1" ht="8.1" customHeight="1" x14ac:dyDescent="0.15"/>
    <row r="68" spans="1:6" ht="20.100000000000001" customHeight="1" x14ac:dyDescent="0.25">
      <c r="A68" s="25" t="s">
        <v>25</v>
      </c>
      <c r="B68" s="25"/>
      <c r="C68" s="25"/>
      <c r="D68" s="25"/>
      <c r="E68" s="25"/>
      <c r="F68" s="25"/>
    </row>
    <row r="69" spans="1:6" ht="18" customHeight="1" x14ac:dyDescent="0.25">
      <c r="A69" s="26" t="s">
        <v>26</v>
      </c>
      <c r="B69" s="26"/>
      <c r="C69" s="26"/>
      <c r="D69" s="26"/>
      <c r="E69" s="26"/>
      <c r="F69" s="26"/>
    </row>
    <row r="70" spans="1:6" x14ac:dyDescent="0.25">
      <c r="A70" s="7" t="s">
        <v>27</v>
      </c>
    </row>
    <row r="71" spans="1:6" x14ac:dyDescent="0.25">
      <c r="A71" s="8" t="s">
        <v>118</v>
      </c>
      <c r="B71" s="8" t="s">
        <v>119</v>
      </c>
      <c r="C71" s="8" t="s">
        <v>120</v>
      </c>
      <c r="D71" s="8" t="s">
        <v>121</v>
      </c>
      <c r="E71" s="8" t="s">
        <v>122</v>
      </c>
      <c r="F71" s="8" t="s">
        <v>123</v>
      </c>
    </row>
    <row r="72" spans="1:6" ht="27.95" customHeight="1" x14ac:dyDescent="0.25">
      <c r="A72" s="9">
        <v>44121</v>
      </c>
      <c r="B72" s="10">
        <v>12.3</v>
      </c>
      <c r="C72" s="11" t="s">
        <v>183</v>
      </c>
      <c r="D72" s="11" t="s">
        <v>184</v>
      </c>
      <c r="E72" s="11"/>
      <c r="F72" s="12" t="s">
        <v>185</v>
      </c>
    </row>
    <row r="73" spans="1:6" ht="18" customHeight="1" x14ac:dyDescent="0.25">
      <c r="A73" s="13">
        <v>44306</v>
      </c>
      <c r="B73" s="14">
        <v>14.7</v>
      </c>
      <c r="C73" s="15" t="s">
        <v>183</v>
      </c>
      <c r="D73" s="15" t="s">
        <v>186</v>
      </c>
      <c r="E73" s="15" t="s">
        <v>187</v>
      </c>
      <c r="F73" s="16" t="s">
        <v>127</v>
      </c>
    </row>
    <row r="74" spans="1:6" ht="18" customHeight="1" x14ac:dyDescent="0.25">
      <c r="A74" s="9">
        <v>44537</v>
      </c>
      <c r="B74" s="10">
        <v>13.9</v>
      </c>
      <c r="C74" s="11" t="s">
        <v>183</v>
      </c>
      <c r="D74" s="11" t="s">
        <v>188</v>
      </c>
      <c r="E74" s="11"/>
      <c r="F74" s="12" t="s">
        <v>130</v>
      </c>
    </row>
    <row r="75" spans="1:6" ht="18" customHeight="1" x14ac:dyDescent="0.25">
      <c r="A75" s="13">
        <v>44601</v>
      </c>
      <c r="B75" s="14">
        <v>12.7</v>
      </c>
      <c r="C75" s="15" t="s">
        <v>183</v>
      </c>
      <c r="D75" s="15" t="s">
        <v>186</v>
      </c>
      <c r="E75" s="15"/>
      <c r="F75" s="16" t="s">
        <v>189</v>
      </c>
    </row>
    <row r="76" spans="1:6" ht="18" customHeight="1" x14ac:dyDescent="0.25">
      <c r="A76" s="9">
        <v>44621</v>
      </c>
      <c r="B76" s="10">
        <v>12.5</v>
      </c>
      <c r="C76" s="11" t="s">
        <v>183</v>
      </c>
      <c r="D76" s="11" t="s">
        <v>186</v>
      </c>
      <c r="E76" s="11"/>
      <c r="F76" s="12" t="s">
        <v>190</v>
      </c>
    </row>
    <row r="77" spans="1:6" ht="18" customHeight="1" x14ac:dyDescent="0.25">
      <c r="A77" s="13">
        <v>44623</v>
      </c>
      <c r="B77" s="14">
        <v>12.3</v>
      </c>
      <c r="C77" s="15" t="s">
        <v>183</v>
      </c>
      <c r="D77" s="15" t="s">
        <v>186</v>
      </c>
      <c r="E77" s="15"/>
      <c r="F77" s="16" t="s">
        <v>191</v>
      </c>
    </row>
    <row r="78" spans="1:6" ht="27.95" customHeight="1" x14ac:dyDescent="0.25">
      <c r="A78" s="9">
        <v>45580</v>
      </c>
      <c r="B78" s="10">
        <v>12.2</v>
      </c>
      <c r="C78" s="11" t="s">
        <v>183</v>
      </c>
      <c r="D78" s="11" t="s">
        <v>192</v>
      </c>
      <c r="E78" s="11"/>
      <c r="F78" s="12" t="s">
        <v>132</v>
      </c>
    </row>
    <row r="79" spans="1:6" ht="18" customHeight="1" x14ac:dyDescent="0.25">
      <c r="A79" s="13">
        <v>45805</v>
      </c>
      <c r="B79" s="14">
        <v>12.7</v>
      </c>
      <c r="C79" s="15" t="s">
        <v>183</v>
      </c>
      <c r="D79" s="15" t="s">
        <v>192</v>
      </c>
      <c r="E79" s="15"/>
      <c r="F79" s="16" t="s">
        <v>193</v>
      </c>
    </row>
    <row r="80" spans="1:6" ht="18" customHeight="1" x14ac:dyDescent="0.25">
      <c r="A80" s="9">
        <v>45866</v>
      </c>
      <c r="B80" s="10">
        <v>13.2</v>
      </c>
      <c r="C80" s="11" t="s">
        <v>183</v>
      </c>
      <c r="D80" s="11" t="s">
        <v>192</v>
      </c>
      <c r="E80" s="11"/>
      <c r="F80" s="12" t="s">
        <v>134</v>
      </c>
    </row>
    <row r="81" spans="1:6" ht="18" customHeight="1" x14ac:dyDescent="0.25">
      <c r="A81" s="13">
        <v>46056</v>
      </c>
      <c r="B81" s="14">
        <v>12.7</v>
      </c>
      <c r="C81" s="15" t="s">
        <v>183</v>
      </c>
      <c r="D81" s="15" t="s">
        <v>192</v>
      </c>
      <c r="E81" s="15"/>
      <c r="F81" s="16" t="s">
        <v>136</v>
      </c>
    </row>
    <row r="82" spans="1:6" ht="18" customHeight="1" x14ac:dyDescent="0.25">
      <c r="A82" s="9">
        <v>46232</v>
      </c>
      <c r="B82" s="10">
        <v>13</v>
      </c>
      <c r="C82" s="11" t="s">
        <v>183</v>
      </c>
      <c r="D82" s="11" t="s">
        <v>192</v>
      </c>
      <c r="E82" s="11"/>
      <c r="F82" s="12" t="s">
        <v>194</v>
      </c>
    </row>
    <row r="83" spans="1:6" ht="27.95" customHeight="1" x14ac:dyDescent="0.25">
      <c r="A83" s="13">
        <v>46246</v>
      </c>
      <c r="B83" s="14">
        <v>12.9</v>
      </c>
      <c r="C83" s="15" t="s">
        <v>183</v>
      </c>
      <c r="D83" s="15" t="s">
        <v>192</v>
      </c>
      <c r="E83" s="15"/>
      <c r="F83" s="16" t="s">
        <v>144</v>
      </c>
    </row>
    <row r="84" spans="1:6" s="17" customFormat="1" ht="8.1" customHeight="1" x14ac:dyDescent="0.15"/>
    <row r="85" spans="1:6" ht="18" customHeight="1" x14ac:dyDescent="0.25">
      <c r="A85" s="26" t="s">
        <v>28</v>
      </c>
      <c r="B85" s="26"/>
      <c r="C85" s="26"/>
      <c r="D85" s="26"/>
      <c r="E85" s="26"/>
      <c r="F85" s="26"/>
    </row>
    <row r="86" spans="1:6" x14ac:dyDescent="0.25">
      <c r="A86" s="7" t="s">
        <v>29</v>
      </c>
    </row>
    <row r="87" spans="1:6" x14ac:dyDescent="0.25">
      <c r="A87" s="8" t="s">
        <v>118</v>
      </c>
      <c r="B87" s="8" t="s">
        <v>119</v>
      </c>
      <c r="C87" s="8" t="s">
        <v>120</v>
      </c>
      <c r="D87" s="8" t="s">
        <v>121</v>
      </c>
      <c r="E87" s="8" t="s">
        <v>122</v>
      </c>
      <c r="F87" s="8" t="s">
        <v>123</v>
      </c>
    </row>
    <row r="88" spans="1:6" ht="27.95" customHeight="1" x14ac:dyDescent="0.25">
      <c r="A88" s="9">
        <v>44121</v>
      </c>
      <c r="B88" s="10">
        <v>4.7300000000000004</v>
      </c>
      <c r="C88" s="11" t="s">
        <v>195</v>
      </c>
      <c r="D88" s="11" t="s">
        <v>196</v>
      </c>
      <c r="E88" s="11" t="s">
        <v>197</v>
      </c>
      <c r="F88" s="12" t="s">
        <v>185</v>
      </c>
    </row>
    <row r="89" spans="1:6" ht="18" customHeight="1" x14ac:dyDescent="0.25">
      <c r="A89" s="13">
        <v>44306</v>
      </c>
      <c r="B89" s="14">
        <v>5.35</v>
      </c>
      <c r="C89" s="15" t="s">
        <v>195</v>
      </c>
      <c r="D89" s="15" t="s">
        <v>198</v>
      </c>
      <c r="E89" s="15"/>
      <c r="F89" s="16" t="s">
        <v>127</v>
      </c>
    </row>
    <row r="90" spans="1:6" ht="18" customHeight="1" x14ac:dyDescent="0.25">
      <c r="A90" s="9">
        <v>44537</v>
      </c>
      <c r="B90" s="10">
        <v>5.07</v>
      </c>
      <c r="C90" s="11" t="s">
        <v>195</v>
      </c>
      <c r="D90" s="11" t="s">
        <v>199</v>
      </c>
      <c r="E90" s="11"/>
      <c r="F90" s="12" t="s">
        <v>130</v>
      </c>
    </row>
    <row r="91" spans="1:6" ht="18" customHeight="1" x14ac:dyDescent="0.25">
      <c r="A91" s="13">
        <v>44601</v>
      </c>
      <c r="B91" s="14">
        <v>4.5199999999999996</v>
      </c>
      <c r="C91" s="15" t="s">
        <v>195</v>
      </c>
      <c r="D91" s="15" t="s">
        <v>200</v>
      </c>
      <c r="E91" s="15"/>
      <c r="F91" s="16" t="s">
        <v>189</v>
      </c>
    </row>
    <row r="92" spans="1:6" ht="18" customHeight="1" x14ac:dyDescent="0.25">
      <c r="A92" s="9">
        <v>44621</v>
      </c>
      <c r="B92" s="10">
        <v>4.5</v>
      </c>
      <c r="C92" s="11" t="s">
        <v>195</v>
      </c>
      <c r="D92" s="11" t="s">
        <v>200</v>
      </c>
      <c r="E92" s="11"/>
      <c r="F92" s="12" t="s">
        <v>190</v>
      </c>
    </row>
    <row r="93" spans="1:6" ht="18" customHeight="1" x14ac:dyDescent="0.25">
      <c r="A93" s="13">
        <v>44623</v>
      </c>
      <c r="B93" s="14">
        <v>4.4800000000000004</v>
      </c>
      <c r="C93" s="15" t="s">
        <v>195</v>
      </c>
      <c r="D93" s="15" t="s">
        <v>200</v>
      </c>
      <c r="E93" s="15"/>
      <c r="F93" s="16" t="s">
        <v>191</v>
      </c>
    </row>
    <row r="94" spans="1:6" ht="27.95" customHeight="1" x14ac:dyDescent="0.25">
      <c r="A94" s="9">
        <v>45580</v>
      </c>
      <c r="B94" s="10">
        <v>4.95</v>
      </c>
      <c r="C94" s="11" t="s">
        <v>195</v>
      </c>
      <c r="D94" s="11" t="s">
        <v>201</v>
      </c>
      <c r="E94" s="11"/>
      <c r="F94" s="12" t="s">
        <v>132</v>
      </c>
    </row>
    <row r="95" spans="1:6" ht="18" customHeight="1" x14ac:dyDescent="0.25">
      <c r="A95" s="13">
        <v>45805</v>
      </c>
      <c r="B95" s="14">
        <v>4.9000000000000004</v>
      </c>
      <c r="C95" s="15" t="s">
        <v>195</v>
      </c>
      <c r="D95" s="15" t="s">
        <v>201</v>
      </c>
      <c r="E95" s="15"/>
      <c r="F95" s="16" t="s">
        <v>193</v>
      </c>
    </row>
    <row r="96" spans="1:6" ht="18" customHeight="1" x14ac:dyDescent="0.25">
      <c r="A96" s="9">
        <v>45866</v>
      </c>
      <c r="B96" s="10">
        <v>4.95</v>
      </c>
      <c r="C96" s="11" t="s">
        <v>195</v>
      </c>
      <c r="D96" s="11" t="s">
        <v>201</v>
      </c>
      <c r="E96" s="11"/>
      <c r="F96" s="12" t="s">
        <v>134</v>
      </c>
    </row>
    <row r="97" spans="1:6" ht="18" customHeight="1" x14ac:dyDescent="0.25">
      <c r="A97" s="13">
        <v>46056</v>
      </c>
      <c r="B97" s="14">
        <v>4.7</v>
      </c>
      <c r="C97" s="15" t="s">
        <v>195</v>
      </c>
      <c r="D97" s="15" t="s">
        <v>201</v>
      </c>
      <c r="E97" s="15"/>
      <c r="F97" s="16" t="s">
        <v>136</v>
      </c>
    </row>
    <row r="98" spans="1:6" ht="18" customHeight="1" x14ac:dyDescent="0.25">
      <c r="A98" s="9">
        <v>46232</v>
      </c>
      <c r="B98" s="10">
        <v>4.78</v>
      </c>
      <c r="C98" s="11" t="s">
        <v>195</v>
      </c>
      <c r="D98" s="11" t="s">
        <v>201</v>
      </c>
      <c r="E98" s="11"/>
      <c r="F98" s="12" t="s">
        <v>194</v>
      </c>
    </row>
    <row r="99" spans="1:6" ht="27.95" customHeight="1" x14ac:dyDescent="0.25">
      <c r="A99" s="13">
        <v>46246</v>
      </c>
      <c r="B99" s="14">
        <v>4.8600000000000003</v>
      </c>
      <c r="C99" s="15" t="s">
        <v>195</v>
      </c>
      <c r="D99" s="15" t="s">
        <v>201</v>
      </c>
      <c r="E99" s="15"/>
      <c r="F99" s="16" t="s">
        <v>144</v>
      </c>
    </row>
    <row r="100" spans="1:6" s="17" customFormat="1" ht="8.1" customHeight="1" x14ac:dyDescent="0.15"/>
    <row r="101" spans="1:6" ht="18" customHeight="1" x14ac:dyDescent="0.25">
      <c r="A101" s="26" t="s">
        <v>30</v>
      </c>
      <c r="B101" s="26"/>
      <c r="C101" s="26"/>
      <c r="D101" s="26"/>
      <c r="E101" s="26"/>
      <c r="F101" s="26"/>
    </row>
    <row r="102" spans="1:6" x14ac:dyDescent="0.25">
      <c r="A102" s="7" t="s">
        <v>31</v>
      </c>
    </row>
    <row r="103" spans="1:6" x14ac:dyDescent="0.25">
      <c r="A103" s="8" t="s">
        <v>118</v>
      </c>
      <c r="B103" s="8" t="s">
        <v>119</v>
      </c>
      <c r="C103" s="8" t="s">
        <v>120</v>
      </c>
      <c r="D103" s="8" t="s">
        <v>121</v>
      </c>
      <c r="E103" s="8" t="s">
        <v>122</v>
      </c>
      <c r="F103" s="8" t="s">
        <v>123</v>
      </c>
    </row>
    <row r="104" spans="1:6" ht="27.95" customHeight="1" x14ac:dyDescent="0.25">
      <c r="A104" s="9">
        <v>44121</v>
      </c>
      <c r="B104" s="10">
        <v>37.5</v>
      </c>
      <c r="C104" s="11" t="s">
        <v>202</v>
      </c>
      <c r="D104" s="11" t="s">
        <v>203</v>
      </c>
      <c r="E104" s="11"/>
      <c r="F104" s="12" t="s">
        <v>185</v>
      </c>
    </row>
    <row r="105" spans="1:6" ht="18" customHeight="1" x14ac:dyDescent="0.25">
      <c r="A105" s="13">
        <v>44306</v>
      </c>
      <c r="B105" s="14">
        <v>44.2</v>
      </c>
      <c r="C105" s="15" t="s">
        <v>202</v>
      </c>
      <c r="D105" s="15" t="s">
        <v>204</v>
      </c>
      <c r="E105" s="15" t="s">
        <v>197</v>
      </c>
      <c r="F105" s="16" t="s">
        <v>127</v>
      </c>
    </row>
    <row r="106" spans="1:6" ht="18" customHeight="1" x14ac:dyDescent="0.25">
      <c r="A106" s="9">
        <v>44537</v>
      </c>
      <c r="B106" s="10">
        <v>41</v>
      </c>
      <c r="C106" s="11" t="s">
        <v>202</v>
      </c>
      <c r="D106" s="11" t="s">
        <v>205</v>
      </c>
      <c r="E106" s="11"/>
      <c r="F106" s="12" t="s">
        <v>130</v>
      </c>
    </row>
    <row r="107" spans="1:6" ht="18" customHeight="1" x14ac:dyDescent="0.25">
      <c r="A107" s="13">
        <v>44601</v>
      </c>
      <c r="B107" s="14">
        <v>36.700000000000003</v>
      </c>
      <c r="C107" s="15" t="s">
        <v>202</v>
      </c>
      <c r="D107" s="15" t="s">
        <v>206</v>
      </c>
      <c r="E107" s="15"/>
      <c r="F107" s="16" t="s">
        <v>189</v>
      </c>
    </row>
    <row r="108" spans="1:6" ht="18" customHeight="1" x14ac:dyDescent="0.25">
      <c r="A108" s="9">
        <v>44621</v>
      </c>
      <c r="B108" s="10">
        <v>35.9</v>
      </c>
      <c r="C108" s="11" t="s">
        <v>202</v>
      </c>
      <c r="D108" s="11" t="s">
        <v>206</v>
      </c>
      <c r="E108" s="11"/>
      <c r="F108" s="12" t="s">
        <v>190</v>
      </c>
    </row>
    <row r="109" spans="1:6" ht="18" customHeight="1" x14ac:dyDescent="0.25">
      <c r="A109" s="13">
        <v>44623</v>
      </c>
      <c r="B109" s="14">
        <v>35.9</v>
      </c>
      <c r="C109" s="15" t="s">
        <v>202</v>
      </c>
      <c r="D109" s="15" t="s">
        <v>206</v>
      </c>
      <c r="E109" s="15"/>
      <c r="F109" s="16" t="s">
        <v>191</v>
      </c>
    </row>
    <row r="110" spans="1:6" ht="27.95" customHeight="1" x14ac:dyDescent="0.25">
      <c r="A110" s="9">
        <v>45580</v>
      </c>
      <c r="B110" s="10">
        <v>40.700000000000003</v>
      </c>
      <c r="C110" s="11" t="s">
        <v>202</v>
      </c>
      <c r="D110" s="11" t="s">
        <v>207</v>
      </c>
      <c r="E110" s="11" t="s">
        <v>197</v>
      </c>
      <c r="F110" s="12" t="s">
        <v>132</v>
      </c>
    </row>
    <row r="111" spans="1:6" ht="18" customHeight="1" x14ac:dyDescent="0.25">
      <c r="A111" s="13">
        <v>45805</v>
      </c>
      <c r="B111" s="14">
        <v>38.799999999999997</v>
      </c>
      <c r="C111" s="15" t="s">
        <v>202</v>
      </c>
      <c r="D111" s="15" t="s">
        <v>207</v>
      </c>
      <c r="E111" s="15"/>
      <c r="F111" s="16" t="s">
        <v>193</v>
      </c>
    </row>
    <row r="112" spans="1:6" ht="18" customHeight="1" x14ac:dyDescent="0.25">
      <c r="A112" s="9">
        <v>45866</v>
      </c>
      <c r="B112" s="10">
        <v>40.5</v>
      </c>
      <c r="C112" s="11" t="s">
        <v>202</v>
      </c>
      <c r="D112" s="11" t="s">
        <v>207</v>
      </c>
      <c r="E112" s="11" t="s">
        <v>197</v>
      </c>
      <c r="F112" s="12" t="s">
        <v>134</v>
      </c>
    </row>
    <row r="113" spans="1:6" ht="18" customHeight="1" x14ac:dyDescent="0.25">
      <c r="A113" s="13">
        <v>46056</v>
      </c>
      <c r="B113" s="14">
        <v>38</v>
      </c>
      <c r="C113" s="15" t="s">
        <v>202</v>
      </c>
      <c r="D113" s="15" t="s">
        <v>207</v>
      </c>
      <c r="E113" s="15"/>
      <c r="F113" s="16" t="s">
        <v>136</v>
      </c>
    </row>
    <row r="114" spans="1:6" ht="18" customHeight="1" x14ac:dyDescent="0.25">
      <c r="A114" s="9">
        <v>46232</v>
      </c>
      <c r="B114" s="10">
        <v>38.4</v>
      </c>
      <c r="C114" s="11" t="s">
        <v>202</v>
      </c>
      <c r="D114" s="11" t="s">
        <v>207</v>
      </c>
      <c r="E114" s="11"/>
      <c r="F114" s="12" t="s">
        <v>194</v>
      </c>
    </row>
    <row r="115" spans="1:6" ht="27.95" customHeight="1" x14ac:dyDescent="0.25">
      <c r="A115" s="13">
        <v>46246</v>
      </c>
      <c r="B115" s="14">
        <v>38.5</v>
      </c>
      <c r="C115" s="15" t="s">
        <v>202</v>
      </c>
      <c r="D115" s="15" t="s">
        <v>207</v>
      </c>
      <c r="E115" s="15"/>
      <c r="F115" s="16" t="s">
        <v>144</v>
      </c>
    </row>
    <row r="116" spans="1:6" s="17" customFormat="1" ht="8.1" customHeight="1" x14ac:dyDescent="0.15"/>
    <row r="117" spans="1:6" ht="18" customHeight="1" x14ac:dyDescent="0.25">
      <c r="A117" s="26" t="s">
        <v>32</v>
      </c>
      <c r="B117" s="26"/>
      <c r="C117" s="26"/>
      <c r="D117" s="26"/>
      <c r="E117" s="26"/>
      <c r="F117" s="26"/>
    </row>
    <row r="118" spans="1:6" x14ac:dyDescent="0.25">
      <c r="A118" s="7" t="s">
        <v>33</v>
      </c>
    </row>
    <row r="119" spans="1:6" x14ac:dyDescent="0.25">
      <c r="A119" s="8" t="s">
        <v>118</v>
      </c>
      <c r="B119" s="8" t="s">
        <v>119</v>
      </c>
      <c r="C119" s="8" t="s">
        <v>120</v>
      </c>
      <c r="D119" s="8" t="s">
        <v>121</v>
      </c>
      <c r="E119" s="8" t="s">
        <v>122</v>
      </c>
      <c r="F119" s="8" t="s">
        <v>123</v>
      </c>
    </row>
    <row r="120" spans="1:6" ht="27.95" customHeight="1" x14ac:dyDescent="0.25">
      <c r="A120" s="9">
        <v>44121</v>
      </c>
      <c r="B120" s="10">
        <v>79.3</v>
      </c>
      <c r="C120" s="11" t="s">
        <v>208</v>
      </c>
      <c r="D120" s="11" t="s">
        <v>209</v>
      </c>
      <c r="E120" s="11"/>
      <c r="F120" s="12" t="s">
        <v>185</v>
      </c>
    </row>
    <row r="121" spans="1:6" ht="18" customHeight="1" x14ac:dyDescent="0.25">
      <c r="A121" s="13">
        <v>44306</v>
      </c>
      <c r="B121" s="14">
        <v>82.6</v>
      </c>
      <c r="C121" s="15" t="s">
        <v>208</v>
      </c>
      <c r="D121" s="15" t="s">
        <v>210</v>
      </c>
      <c r="E121" s="15"/>
      <c r="F121" s="16" t="s">
        <v>127</v>
      </c>
    </row>
    <row r="122" spans="1:6" ht="18" customHeight="1" x14ac:dyDescent="0.25">
      <c r="A122" s="9">
        <v>44537</v>
      </c>
      <c r="B122" s="10">
        <v>80.900000000000006</v>
      </c>
      <c r="C122" s="11" t="s">
        <v>208</v>
      </c>
      <c r="D122" s="11" t="s">
        <v>211</v>
      </c>
      <c r="E122" s="11"/>
      <c r="F122" s="12" t="s">
        <v>130</v>
      </c>
    </row>
    <row r="123" spans="1:6" ht="18" customHeight="1" x14ac:dyDescent="0.25">
      <c r="A123" s="13">
        <v>44601</v>
      </c>
      <c r="B123" s="14">
        <v>81</v>
      </c>
      <c r="C123" s="15" t="s">
        <v>208</v>
      </c>
      <c r="D123" s="15" t="s">
        <v>212</v>
      </c>
      <c r="E123" s="15"/>
      <c r="F123" s="16" t="s">
        <v>189</v>
      </c>
    </row>
    <row r="124" spans="1:6" ht="18" customHeight="1" x14ac:dyDescent="0.25">
      <c r="A124" s="9">
        <v>44621</v>
      </c>
      <c r="B124" s="10">
        <v>80</v>
      </c>
      <c r="C124" s="11" t="s">
        <v>208</v>
      </c>
      <c r="D124" s="11" t="s">
        <v>212</v>
      </c>
      <c r="E124" s="11"/>
      <c r="F124" s="12" t="s">
        <v>190</v>
      </c>
    </row>
    <row r="125" spans="1:6" ht="18" customHeight="1" x14ac:dyDescent="0.25">
      <c r="A125" s="13">
        <v>44623</v>
      </c>
      <c r="B125" s="14">
        <v>80</v>
      </c>
      <c r="C125" s="15" t="s">
        <v>208</v>
      </c>
      <c r="D125" s="15" t="s">
        <v>212</v>
      </c>
      <c r="E125" s="15"/>
      <c r="F125" s="16" t="s">
        <v>191</v>
      </c>
    </row>
    <row r="126" spans="1:6" ht="27.95" customHeight="1" x14ac:dyDescent="0.25">
      <c r="A126" s="9">
        <v>45580</v>
      </c>
      <c r="B126" s="10">
        <v>82.2</v>
      </c>
      <c r="C126" s="11" t="s">
        <v>208</v>
      </c>
      <c r="D126" s="11" t="s">
        <v>213</v>
      </c>
      <c r="E126" s="11"/>
      <c r="F126" s="12" t="s">
        <v>132</v>
      </c>
    </row>
    <row r="127" spans="1:6" ht="18" customHeight="1" x14ac:dyDescent="0.25">
      <c r="A127" s="13">
        <v>45805</v>
      </c>
      <c r="B127" s="14">
        <v>79.2</v>
      </c>
      <c r="C127" s="15" t="s">
        <v>208</v>
      </c>
      <c r="D127" s="15" t="s">
        <v>213</v>
      </c>
      <c r="E127" s="15"/>
      <c r="F127" s="16" t="s">
        <v>193</v>
      </c>
    </row>
    <row r="128" spans="1:6" ht="18" customHeight="1" x14ac:dyDescent="0.25">
      <c r="A128" s="9">
        <v>45866</v>
      </c>
      <c r="B128" s="10">
        <v>81.8</v>
      </c>
      <c r="C128" s="11" t="s">
        <v>208</v>
      </c>
      <c r="D128" s="11" t="s">
        <v>213</v>
      </c>
      <c r="E128" s="11"/>
      <c r="F128" s="12" t="s">
        <v>134</v>
      </c>
    </row>
    <row r="129" spans="1:6" ht="18" customHeight="1" x14ac:dyDescent="0.25">
      <c r="A129" s="13">
        <v>46056</v>
      </c>
      <c r="B129" s="14">
        <v>80.900000000000006</v>
      </c>
      <c r="C129" s="15" t="s">
        <v>208</v>
      </c>
      <c r="D129" s="15" t="s">
        <v>213</v>
      </c>
      <c r="E129" s="15"/>
      <c r="F129" s="16" t="s">
        <v>136</v>
      </c>
    </row>
    <row r="130" spans="1:6" ht="18" customHeight="1" x14ac:dyDescent="0.25">
      <c r="A130" s="9">
        <v>46232</v>
      </c>
      <c r="B130" s="10">
        <v>80.3</v>
      </c>
      <c r="C130" s="11" t="s">
        <v>208</v>
      </c>
      <c r="D130" s="11" t="s">
        <v>213</v>
      </c>
      <c r="E130" s="11"/>
      <c r="F130" s="12" t="s">
        <v>194</v>
      </c>
    </row>
    <row r="131" spans="1:6" ht="27.95" customHeight="1" x14ac:dyDescent="0.25">
      <c r="A131" s="13">
        <v>46246</v>
      </c>
      <c r="B131" s="14">
        <v>79.2</v>
      </c>
      <c r="C131" s="15" t="s">
        <v>208</v>
      </c>
      <c r="D131" s="15" t="s">
        <v>213</v>
      </c>
      <c r="E131" s="15"/>
      <c r="F131" s="16" t="s">
        <v>144</v>
      </c>
    </row>
    <row r="132" spans="1:6" s="17" customFormat="1" ht="8.1" customHeight="1" x14ac:dyDescent="0.15"/>
    <row r="133" spans="1:6" ht="18" customHeight="1" x14ac:dyDescent="0.25">
      <c r="A133" s="26" t="s">
        <v>34</v>
      </c>
      <c r="B133" s="26"/>
      <c r="C133" s="26"/>
      <c r="D133" s="26"/>
      <c r="E133" s="26"/>
      <c r="F133" s="26"/>
    </row>
    <row r="134" spans="1:6" x14ac:dyDescent="0.25">
      <c r="A134" s="7" t="s">
        <v>35</v>
      </c>
    </row>
    <row r="135" spans="1:6" x14ac:dyDescent="0.25">
      <c r="A135" s="8" t="s">
        <v>118</v>
      </c>
      <c r="B135" s="8" t="s">
        <v>214</v>
      </c>
      <c r="C135" s="8" t="s">
        <v>215</v>
      </c>
      <c r="D135" s="8" t="s">
        <v>216</v>
      </c>
      <c r="E135" s="8" t="s">
        <v>122</v>
      </c>
      <c r="F135" s="8" t="s">
        <v>123</v>
      </c>
    </row>
    <row r="136" spans="1:6" ht="27.95" customHeight="1" x14ac:dyDescent="0.25">
      <c r="A136" s="9">
        <v>44121</v>
      </c>
      <c r="B136" s="10">
        <v>26</v>
      </c>
      <c r="C136" s="10">
        <v>32.799999999999997</v>
      </c>
      <c r="D136" s="11" t="s">
        <v>217</v>
      </c>
      <c r="E136" s="11"/>
      <c r="F136" s="12" t="s">
        <v>185</v>
      </c>
    </row>
    <row r="137" spans="1:6" ht="18" customHeight="1" x14ac:dyDescent="0.25">
      <c r="A137" s="13">
        <v>44306</v>
      </c>
      <c r="B137" s="14">
        <v>27.5</v>
      </c>
      <c r="C137" s="14">
        <v>33.299999999999997</v>
      </c>
      <c r="D137" s="15" t="s">
        <v>218</v>
      </c>
      <c r="E137" s="15"/>
      <c r="F137" s="16" t="s">
        <v>127</v>
      </c>
    </row>
    <row r="138" spans="1:6" ht="18" customHeight="1" x14ac:dyDescent="0.25">
      <c r="A138" s="9">
        <v>44537</v>
      </c>
      <c r="B138" s="10">
        <v>27.4</v>
      </c>
      <c r="C138" s="10">
        <v>33.9</v>
      </c>
      <c r="D138" s="11" t="s">
        <v>219</v>
      </c>
      <c r="E138" s="11"/>
      <c r="F138" s="12" t="s">
        <v>130</v>
      </c>
    </row>
    <row r="139" spans="1:6" ht="18" customHeight="1" x14ac:dyDescent="0.25">
      <c r="A139" s="13">
        <v>44601</v>
      </c>
      <c r="B139" s="14">
        <v>28</v>
      </c>
      <c r="C139" s="14">
        <v>35</v>
      </c>
      <c r="D139" s="15" t="s">
        <v>220</v>
      </c>
      <c r="E139" s="15" t="s">
        <v>221</v>
      </c>
      <c r="F139" s="16" t="s">
        <v>189</v>
      </c>
    </row>
    <row r="140" spans="1:6" ht="18" customHeight="1" x14ac:dyDescent="0.25">
      <c r="A140" s="9">
        <v>44621</v>
      </c>
      <c r="B140" s="10">
        <v>28</v>
      </c>
      <c r="C140" s="10">
        <v>35</v>
      </c>
      <c r="D140" s="11" t="s">
        <v>220</v>
      </c>
      <c r="E140" s="11" t="s">
        <v>221</v>
      </c>
      <c r="F140" s="12" t="s">
        <v>190</v>
      </c>
    </row>
    <row r="141" spans="1:6" ht="18" customHeight="1" x14ac:dyDescent="0.25">
      <c r="A141" s="13">
        <v>44623</v>
      </c>
      <c r="B141" s="14">
        <v>27</v>
      </c>
      <c r="C141" s="14">
        <v>34</v>
      </c>
      <c r="D141" s="15" t="s">
        <v>220</v>
      </c>
      <c r="E141" s="15"/>
      <c r="F141" s="16" t="s">
        <v>191</v>
      </c>
    </row>
    <row r="142" spans="1:6" ht="27.95" customHeight="1" x14ac:dyDescent="0.25">
      <c r="A142" s="9">
        <v>45580</v>
      </c>
      <c r="B142" s="10">
        <v>24.6</v>
      </c>
      <c r="C142" s="10">
        <v>30</v>
      </c>
      <c r="D142" s="11" t="s">
        <v>222</v>
      </c>
      <c r="E142" s="11" t="s">
        <v>223</v>
      </c>
      <c r="F142" s="12" t="s">
        <v>132</v>
      </c>
    </row>
    <row r="143" spans="1:6" ht="18" customHeight="1" x14ac:dyDescent="0.25">
      <c r="A143" s="13">
        <v>45805</v>
      </c>
      <c r="B143" s="14">
        <v>25.9</v>
      </c>
      <c r="C143" s="14">
        <v>32.700000000000003</v>
      </c>
      <c r="D143" s="15" t="s">
        <v>222</v>
      </c>
      <c r="E143" s="15"/>
      <c r="F143" s="16" t="s">
        <v>193</v>
      </c>
    </row>
    <row r="144" spans="1:6" ht="18" customHeight="1" x14ac:dyDescent="0.25">
      <c r="A144" s="9">
        <v>45866</v>
      </c>
      <c r="B144" s="10">
        <v>26.7</v>
      </c>
      <c r="C144" s="10">
        <v>32.6</v>
      </c>
      <c r="D144" s="11" t="s">
        <v>222</v>
      </c>
      <c r="E144" s="11"/>
      <c r="F144" s="12" t="s">
        <v>134</v>
      </c>
    </row>
    <row r="145" spans="1:6" ht="18" customHeight="1" x14ac:dyDescent="0.25">
      <c r="A145" s="13">
        <v>46056</v>
      </c>
      <c r="B145" s="14">
        <v>27</v>
      </c>
      <c r="C145" s="14">
        <v>33.4</v>
      </c>
      <c r="D145" s="15" t="s">
        <v>222</v>
      </c>
      <c r="E145" s="15"/>
      <c r="F145" s="16" t="s">
        <v>136</v>
      </c>
    </row>
    <row r="146" spans="1:6" ht="18" customHeight="1" x14ac:dyDescent="0.25">
      <c r="A146" s="9">
        <v>46232</v>
      </c>
      <c r="B146" s="10">
        <v>27.2</v>
      </c>
      <c r="C146" s="10">
        <v>33.9</v>
      </c>
      <c r="D146" s="11" t="s">
        <v>222</v>
      </c>
      <c r="E146" s="11"/>
      <c r="F146" s="12" t="s">
        <v>194</v>
      </c>
    </row>
    <row r="147" spans="1:6" ht="27.95" customHeight="1" x14ac:dyDescent="0.25">
      <c r="A147" s="13">
        <v>46246</v>
      </c>
      <c r="B147" s="14">
        <v>26.5</v>
      </c>
      <c r="C147" s="14">
        <v>33.5</v>
      </c>
      <c r="D147" s="15" t="s">
        <v>222</v>
      </c>
      <c r="E147" s="15"/>
      <c r="F147" s="16" t="s">
        <v>144</v>
      </c>
    </row>
    <row r="148" spans="1:6" s="17" customFormat="1" ht="8.1" customHeight="1" x14ac:dyDescent="0.15"/>
    <row r="149" spans="1:6" ht="18" customHeight="1" x14ac:dyDescent="0.25">
      <c r="A149" s="26" t="s">
        <v>36</v>
      </c>
      <c r="B149" s="26"/>
      <c r="C149" s="26"/>
      <c r="D149" s="26"/>
      <c r="E149" s="26"/>
      <c r="F149" s="26"/>
    </row>
    <row r="150" spans="1:6" x14ac:dyDescent="0.25">
      <c r="A150" s="7" t="s">
        <v>37</v>
      </c>
    </row>
    <row r="151" spans="1:6" x14ac:dyDescent="0.25">
      <c r="A151" s="8" t="s">
        <v>118</v>
      </c>
      <c r="B151" s="8" t="s">
        <v>119</v>
      </c>
      <c r="C151" s="8" t="s">
        <v>120</v>
      </c>
      <c r="D151" s="8" t="s">
        <v>121</v>
      </c>
      <c r="E151" s="8" t="s">
        <v>122</v>
      </c>
      <c r="F151" s="8" t="s">
        <v>123</v>
      </c>
    </row>
    <row r="152" spans="1:6" ht="27.95" customHeight="1" x14ac:dyDescent="0.25">
      <c r="A152" s="9">
        <v>44121</v>
      </c>
      <c r="B152" s="10">
        <v>13.7</v>
      </c>
      <c r="C152" s="11" t="s">
        <v>202</v>
      </c>
      <c r="D152" s="11" t="s">
        <v>224</v>
      </c>
      <c r="E152" s="11"/>
      <c r="F152" s="12" t="s">
        <v>185</v>
      </c>
    </row>
    <row r="153" spans="1:6" ht="18" customHeight="1" x14ac:dyDescent="0.25">
      <c r="A153" s="13">
        <v>44306</v>
      </c>
      <c r="B153" s="14">
        <v>13.5</v>
      </c>
      <c r="C153" s="15" t="s">
        <v>202</v>
      </c>
      <c r="D153" s="15" t="s">
        <v>224</v>
      </c>
      <c r="E153" s="15"/>
      <c r="F153" s="16" t="s">
        <v>127</v>
      </c>
    </row>
    <row r="154" spans="1:6" ht="18" customHeight="1" x14ac:dyDescent="0.25">
      <c r="A154" s="9">
        <v>44537</v>
      </c>
      <c r="B154" s="10">
        <v>13.5</v>
      </c>
      <c r="C154" s="11" t="s">
        <v>202</v>
      </c>
      <c r="D154" s="11" t="s">
        <v>224</v>
      </c>
      <c r="E154" s="11"/>
      <c r="F154" s="12" t="s">
        <v>130</v>
      </c>
    </row>
    <row r="155" spans="1:6" ht="18" customHeight="1" x14ac:dyDescent="0.25">
      <c r="A155" s="13">
        <v>44601</v>
      </c>
      <c r="B155" s="14">
        <v>12.4</v>
      </c>
      <c r="C155" s="15" t="s">
        <v>202</v>
      </c>
      <c r="D155" s="15" t="s">
        <v>225</v>
      </c>
      <c r="E155" s="15"/>
      <c r="F155" s="16" t="s">
        <v>189</v>
      </c>
    </row>
    <row r="156" spans="1:6" ht="18" customHeight="1" x14ac:dyDescent="0.25">
      <c r="A156" s="9">
        <v>44621</v>
      </c>
      <c r="B156" s="10">
        <v>12.1</v>
      </c>
      <c r="C156" s="11" t="s">
        <v>202</v>
      </c>
      <c r="D156" s="11" t="s">
        <v>225</v>
      </c>
      <c r="E156" s="11"/>
      <c r="F156" s="12" t="s">
        <v>190</v>
      </c>
    </row>
    <row r="157" spans="1:6" ht="18" customHeight="1" x14ac:dyDescent="0.25">
      <c r="A157" s="13">
        <v>44623</v>
      </c>
      <c r="B157" s="14">
        <v>12.1</v>
      </c>
      <c r="C157" s="15" t="s">
        <v>202</v>
      </c>
      <c r="D157" s="15" t="s">
        <v>225</v>
      </c>
      <c r="E157" s="15"/>
      <c r="F157" s="16" t="s">
        <v>191</v>
      </c>
    </row>
    <row r="158" spans="1:6" ht="27.95" customHeight="1" x14ac:dyDescent="0.25">
      <c r="A158" s="9">
        <v>45580</v>
      </c>
      <c r="B158" s="10">
        <v>14.6</v>
      </c>
      <c r="C158" s="11" t="s">
        <v>202</v>
      </c>
      <c r="D158" s="11" t="s">
        <v>226</v>
      </c>
      <c r="E158" s="11" t="s">
        <v>227</v>
      </c>
      <c r="F158" s="12" t="s">
        <v>132</v>
      </c>
    </row>
    <row r="159" spans="1:6" ht="18" customHeight="1" x14ac:dyDescent="0.25">
      <c r="A159" s="13">
        <v>45805</v>
      </c>
      <c r="B159" s="14">
        <v>14.1</v>
      </c>
      <c r="C159" s="15" t="s">
        <v>202</v>
      </c>
      <c r="D159" s="15" t="s">
        <v>226</v>
      </c>
      <c r="E159" s="15"/>
      <c r="F159" s="16" t="s">
        <v>193</v>
      </c>
    </row>
    <row r="160" spans="1:6" ht="18" customHeight="1" x14ac:dyDescent="0.25">
      <c r="A160" s="9">
        <v>45866</v>
      </c>
      <c r="B160" s="10">
        <v>13.1</v>
      </c>
      <c r="C160" s="11" t="s">
        <v>202</v>
      </c>
      <c r="D160" s="11" t="s">
        <v>226</v>
      </c>
      <c r="E160" s="11"/>
      <c r="F160" s="12" t="s">
        <v>134</v>
      </c>
    </row>
    <row r="161" spans="1:6" ht="18" customHeight="1" x14ac:dyDescent="0.25">
      <c r="A161" s="13">
        <v>46056</v>
      </c>
      <c r="B161" s="14">
        <v>13.1</v>
      </c>
      <c r="C161" s="15" t="s">
        <v>202</v>
      </c>
      <c r="D161" s="15" t="s">
        <v>226</v>
      </c>
      <c r="E161" s="15"/>
      <c r="F161" s="16" t="s">
        <v>136</v>
      </c>
    </row>
    <row r="162" spans="1:6" ht="18" customHeight="1" x14ac:dyDescent="0.25">
      <c r="A162" s="9">
        <v>46232</v>
      </c>
      <c r="B162" s="10">
        <v>13.2</v>
      </c>
      <c r="C162" s="11" t="s">
        <v>202</v>
      </c>
      <c r="D162" s="11" t="s">
        <v>226</v>
      </c>
      <c r="E162" s="11"/>
      <c r="F162" s="12" t="s">
        <v>194</v>
      </c>
    </row>
    <row r="163" spans="1:6" ht="27.95" customHeight="1" x14ac:dyDescent="0.25">
      <c r="A163" s="13">
        <v>46246</v>
      </c>
      <c r="B163" s="14">
        <v>12.4</v>
      </c>
      <c r="C163" s="15" t="s">
        <v>202</v>
      </c>
      <c r="D163" s="15" t="s">
        <v>226</v>
      </c>
      <c r="E163" s="15"/>
      <c r="F163" s="16" t="s">
        <v>144</v>
      </c>
    </row>
    <row r="164" spans="1:6" s="17" customFormat="1" ht="8.1" customHeight="1" x14ac:dyDescent="0.15"/>
    <row r="165" spans="1:6" ht="18" customHeight="1" x14ac:dyDescent="0.25">
      <c r="A165" s="26" t="s">
        <v>38</v>
      </c>
      <c r="B165" s="26"/>
      <c r="C165" s="26"/>
      <c r="D165" s="26"/>
      <c r="E165" s="26"/>
      <c r="F165" s="26"/>
    </row>
    <row r="166" spans="1:6" x14ac:dyDescent="0.25">
      <c r="A166" s="7" t="s">
        <v>39</v>
      </c>
    </row>
    <row r="167" spans="1:6" x14ac:dyDescent="0.25">
      <c r="A167" s="8" t="s">
        <v>118</v>
      </c>
      <c r="B167" s="8" t="s">
        <v>119</v>
      </c>
      <c r="C167" s="8" t="s">
        <v>120</v>
      </c>
      <c r="D167" s="8" t="s">
        <v>121</v>
      </c>
      <c r="E167" s="8" t="s">
        <v>122</v>
      </c>
      <c r="F167" s="8" t="s">
        <v>123</v>
      </c>
    </row>
    <row r="168" spans="1:6" ht="27.95" customHeight="1" x14ac:dyDescent="0.25">
      <c r="A168" s="9">
        <v>44121</v>
      </c>
      <c r="B168" s="10">
        <v>6350</v>
      </c>
      <c r="C168" s="11" t="s">
        <v>228</v>
      </c>
      <c r="D168" s="11" t="s">
        <v>229</v>
      </c>
      <c r="E168" s="11"/>
      <c r="F168" s="12" t="s">
        <v>185</v>
      </c>
    </row>
    <row r="169" spans="1:6" ht="18" customHeight="1" x14ac:dyDescent="0.25">
      <c r="A169" s="13">
        <v>44306</v>
      </c>
      <c r="B169" s="14">
        <v>9590</v>
      </c>
      <c r="C169" s="15" t="s">
        <v>228</v>
      </c>
      <c r="D169" s="15" t="s">
        <v>230</v>
      </c>
      <c r="E169" s="15"/>
      <c r="F169" s="16" t="s">
        <v>127</v>
      </c>
    </row>
    <row r="170" spans="1:6" ht="18" customHeight="1" x14ac:dyDescent="0.25">
      <c r="A170" s="9">
        <v>44537</v>
      </c>
      <c r="B170" s="10">
        <v>7420</v>
      </c>
      <c r="C170" s="11" t="s">
        <v>228</v>
      </c>
      <c r="D170" s="11" t="s">
        <v>230</v>
      </c>
      <c r="E170" s="11"/>
      <c r="F170" s="12" t="s">
        <v>130</v>
      </c>
    </row>
    <row r="171" spans="1:6" ht="18" customHeight="1" x14ac:dyDescent="0.25">
      <c r="A171" s="13">
        <v>44601</v>
      </c>
      <c r="B171" s="14">
        <v>9400</v>
      </c>
      <c r="C171" s="15" t="s">
        <v>228</v>
      </c>
      <c r="D171" s="15" t="s">
        <v>231</v>
      </c>
      <c r="E171" s="15"/>
      <c r="F171" s="16" t="s">
        <v>189</v>
      </c>
    </row>
    <row r="172" spans="1:6" ht="18" customHeight="1" x14ac:dyDescent="0.25">
      <c r="A172" s="9">
        <v>44621</v>
      </c>
      <c r="B172" s="10">
        <v>7100</v>
      </c>
      <c r="C172" s="11" t="s">
        <v>228</v>
      </c>
      <c r="D172" s="11" t="s">
        <v>231</v>
      </c>
      <c r="E172" s="11"/>
      <c r="F172" s="12" t="s">
        <v>190</v>
      </c>
    </row>
    <row r="173" spans="1:6" ht="18" customHeight="1" x14ac:dyDescent="0.25">
      <c r="A173" s="13">
        <v>44623</v>
      </c>
      <c r="B173" s="14">
        <v>8200</v>
      </c>
      <c r="C173" s="15" t="s">
        <v>228</v>
      </c>
      <c r="D173" s="15" t="s">
        <v>231</v>
      </c>
      <c r="E173" s="15"/>
      <c r="F173" s="16" t="s">
        <v>191</v>
      </c>
    </row>
    <row r="174" spans="1:6" ht="27.95" customHeight="1" x14ac:dyDescent="0.25">
      <c r="A174" s="9">
        <v>45580</v>
      </c>
      <c r="B174" s="10">
        <v>9930</v>
      </c>
      <c r="C174" s="11" t="s">
        <v>228</v>
      </c>
      <c r="D174" s="11" t="s">
        <v>232</v>
      </c>
      <c r="E174" s="11"/>
      <c r="F174" s="12" t="s">
        <v>132</v>
      </c>
    </row>
    <row r="175" spans="1:6" ht="18" customHeight="1" x14ac:dyDescent="0.25">
      <c r="A175" s="13">
        <v>45805</v>
      </c>
      <c r="B175" s="14">
        <v>8950</v>
      </c>
      <c r="C175" s="15" t="s">
        <v>228</v>
      </c>
      <c r="D175" s="15" t="s">
        <v>232</v>
      </c>
      <c r="E175" s="15"/>
      <c r="F175" s="16" t="s">
        <v>193</v>
      </c>
    </row>
    <row r="176" spans="1:6" ht="18" customHeight="1" x14ac:dyDescent="0.25">
      <c r="A176" s="9">
        <v>45866</v>
      </c>
      <c r="B176" s="10">
        <v>13580</v>
      </c>
      <c r="C176" s="11" t="s">
        <v>228</v>
      </c>
      <c r="D176" s="11" t="s">
        <v>232</v>
      </c>
      <c r="E176" s="11" t="s">
        <v>227</v>
      </c>
      <c r="F176" s="12" t="s">
        <v>134</v>
      </c>
    </row>
    <row r="177" spans="1:6" ht="18" customHeight="1" x14ac:dyDescent="0.25">
      <c r="A177" s="13">
        <v>46056</v>
      </c>
      <c r="B177" s="14">
        <v>8810</v>
      </c>
      <c r="C177" s="15" t="s">
        <v>228</v>
      </c>
      <c r="D177" s="15" t="s">
        <v>232</v>
      </c>
      <c r="E177" s="15"/>
      <c r="F177" s="16" t="s">
        <v>136</v>
      </c>
    </row>
    <row r="178" spans="1:6" ht="18" customHeight="1" x14ac:dyDescent="0.25">
      <c r="A178" s="9">
        <v>46232</v>
      </c>
      <c r="B178" s="10">
        <v>4310</v>
      </c>
      <c r="C178" s="11" t="s">
        <v>228</v>
      </c>
      <c r="D178" s="11" t="s">
        <v>232</v>
      </c>
      <c r="E178" s="11" t="s">
        <v>126</v>
      </c>
      <c r="F178" s="12" t="s">
        <v>194</v>
      </c>
    </row>
    <row r="179" spans="1:6" ht="27.95" customHeight="1" x14ac:dyDescent="0.25">
      <c r="A179" s="13">
        <v>46246</v>
      </c>
      <c r="B179" s="14">
        <v>7560</v>
      </c>
      <c r="C179" s="15" t="s">
        <v>228</v>
      </c>
      <c r="D179" s="15" t="s">
        <v>232</v>
      </c>
      <c r="E179" s="15" t="s">
        <v>233</v>
      </c>
      <c r="F179" s="16" t="s">
        <v>144</v>
      </c>
    </row>
    <row r="180" spans="1:6" s="17" customFormat="1" ht="8.1" customHeight="1" x14ac:dyDescent="0.15"/>
    <row r="181" spans="1:6" ht="18" customHeight="1" x14ac:dyDescent="0.25">
      <c r="A181" s="26" t="s">
        <v>40</v>
      </c>
      <c r="B181" s="26"/>
      <c r="C181" s="26"/>
      <c r="D181" s="26"/>
      <c r="E181" s="26"/>
      <c r="F181" s="26"/>
    </row>
    <row r="182" spans="1:6" x14ac:dyDescent="0.25">
      <c r="A182" s="7" t="s">
        <v>41</v>
      </c>
    </row>
    <row r="183" spans="1:6" x14ac:dyDescent="0.25">
      <c r="A183" s="8" t="s">
        <v>118</v>
      </c>
      <c r="B183" s="8" t="s">
        <v>119</v>
      </c>
      <c r="C183" s="8" t="s">
        <v>120</v>
      </c>
      <c r="D183" s="8" t="s">
        <v>121</v>
      </c>
      <c r="E183" s="8" t="s">
        <v>122</v>
      </c>
      <c r="F183" s="8" t="s">
        <v>123</v>
      </c>
    </row>
    <row r="184" spans="1:6" ht="27.95" customHeight="1" x14ac:dyDescent="0.25">
      <c r="A184" s="9">
        <v>44121</v>
      </c>
      <c r="B184" s="10">
        <v>1270</v>
      </c>
      <c r="C184" s="11" t="s">
        <v>228</v>
      </c>
      <c r="D184" s="11" t="s">
        <v>234</v>
      </c>
      <c r="E184" s="11"/>
      <c r="F184" s="12" t="s">
        <v>185</v>
      </c>
    </row>
    <row r="185" spans="1:6" ht="18" customHeight="1" x14ac:dyDescent="0.25">
      <c r="A185" s="13">
        <v>44306</v>
      </c>
      <c r="B185" s="14">
        <v>1055</v>
      </c>
      <c r="C185" s="15" t="s">
        <v>228</v>
      </c>
      <c r="D185" s="15" t="s">
        <v>235</v>
      </c>
      <c r="E185" s="15" t="s">
        <v>126</v>
      </c>
      <c r="F185" s="16" t="s">
        <v>127</v>
      </c>
    </row>
    <row r="186" spans="1:6" ht="18" customHeight="1" x14ac:dyDescent="0.25">
      <c r="A186" s="9">
        <v>44537</v>
      </c>
      <c r="B186" s="10">
        <v>1484</v>
      </c>
      <c r="C186" s="11" t="s">
        <v>228</v>
      </c>
      <c r="D186" s="11" t="s">
        <v>235</v>
      </c>
      <c r="E186" s="11" t="s">
        <v>126</v>
      </c>
      <c r="F186" s="12" t="s">
        <v>130</v>
      </c>
    </row>
    <row r="187" spans="1:6" ht="18" customHeight="1" x14ac:dyDescent="0.25">
      <c r="A187" s="13">
        <v>44601</v>
      </c>
      <c r="B187" s="14">
        <v>4774</v>
      </c>
      <c r="C187" s="15" t="s">
        <v>228</v>
      </c>
      <c r="D187" s="15" t="s">
        <v>236</v>
      </c>
      <c r="E187" s="15"/>
      <c r="F187" s="16" t="s">
        <v>189</v>
      </c>
    </row>
    <row r="188" spans="1:6" ht="18" customHeight="1" x14ac:dyDescent="0.25">
      <c r="A188" s="9">
        <v>44621</v>
      </c>
      <c r="B188" s="10">
        <v>2785</v>
      </c>
      <c r="C188" s="11" t="s">
        <v>228</v>
      </c>
      <c r="D188" s="11" t="s">
        <v>236</v>
      </c>
      <c r="E188" s="11"/>
      <c r="F188" s="12" t="s">
        <v>190</v>
      </c>
    </row>
    <row r="189" spans="1:6" ht="18" customHeight="1" x14ac:dyDescent="0.25">
      <c r="A189" s="13">
        <v>44623</v>
      </c>
      <c r="B189" s="14">
        <v>2545</v>
      </c>
      <c r="C189" s="15" t="s">
        <v>228</v>
      </c>
      <c r="D189" s="15" t="s">
        <v>236</v>
      </c>
      <c r="E189" s="15"/>
      <c r="F189" s="16" t="s">
        <v>191</v>
      </c>
    </row>
    <row r="190" spans="1:6" ht="27.95" customHeight="1" x14ac:dyDescent="0.25">
      <c r="A190" s="9">
        <v>45580</v>
      </c>
      <c r="B190" s="10">
        <v>4600</v>
      </c>
      <c r="C190" s="11" t="s">
        <v>228</v>
      </c>
      <c r="D190" s="11" t="s">
        <v>237</v>
      </c>
      <c r="E190" s="11"/>
      <c r="F190" s="12" t="s">
        <v>132</v>
      </c>
    </row>
    <row r="191" spans="1:6" ht="18" customHeight="1" x14ac:dyDescent="0.25">
      <c r="A191" s="13">
        <v>45805</v>
      </c>
      <c r="B191" s="14">
        <v>3230</v>
      </c>
      <c r="C191" s="15" t="s">
        <v>228</v>
      </c>
      <c r="D191" s="15" t="s">
        <v>237</v>
      </c>
      <c r="E191" s="15"/>
      <c r="F191" s="16" t="s">
        <v>193</v>
      </c>
    </row>
    <row r="192" spans="1:6" ht="18" customHeight="1" x14ac:dyDescent="0.25">
      <c r="A192" s="9">
        <v>45866</v>
      </c>
      <c r="B192" s="10">
        <v>6720</v>
      </c>
      <c r="C192" s="11" t="s">
        <v>228</v>
      </c>
      <c r="D192" s="11" t="s">
        <v>237</v>
      </c>
      <c r="E192" s="11"/>
      <c r="F192" s="12" t="s">
        <v>134</v>
      </c>
    </row>
    <row r="193" spans="1:6" ht="18" customHeight="1" x14ac:dyDescent="0.25">
      <c r="A193" s="13">
        <v>46056</v>
      </c>
      <c r="B193" s="14">
        <v>3990</v>
      </c>
      <c r="C193" s="15" t="s">
        <v>228</v>
      </c>
      <c r="D193" s="15" t="s">
        <v>237</v>
      </c>
      <c r="E193" s="15"/>
      <c r="F193" s="16" t="s">
        <v>136</v>
      </c>
    </row>
    <row r="194" spans="1:6" ht="18" customHeight="1" x14ac:dyDescent="0.25">
      <c r="A194" s="9">
        <v>46232</v>
      </c>
      <c r="B194" s="10">
        <v>2240</v>
      </c>
      <c r="C194" s="11" t="s">
        <v>228</v>
      </c>
      <c r="D194" s="11" t="s">
        <v>237</v>
      </c>
      <c r="E194" s="11"/>
      <c r="F194" s="12" t="s">
        <v>194</v>
      </c>
    </row>
    <row r="195" spans="1:6" ht="27.95" customHeight="1" x14ac:dyDescent="0.25">
      <c r="A195" s="13">
        <v>46246</v>
      </c>
      <c r="B195" s="14">
        <v>2440</v>
      </c>
      <c r="C195" s="15" t="s">
        <v>228</v>
      </c>
      <c r="D195" s="15" t="s">
        <v>237</v>
      </c>
      <c r="E195" s="15"/>
      <c r="F195" s="16" t="s">
        <v>144</v>
      </c>
    </row>
    <row r="196" spans="1:6" s="17" customFormat="1" ht="8.1" customHeight="1" x14ac:dyDescent="0.15"/>
    <row r="197" spans="1:6" ht="18" customHeight="1" x14ac:dyDescent="0.25">
      <c r="A197" s="26" t="s">
        <v>42</v>
      </c>
      <c r="B197" s="26"/>
      <c r="C197" s="26"/>
      <c r="D197" s="26"/>
      <c r="E197" s="26"/>
      <c r="F197" s="26"/>
    </row>
    <row r="198" spans="1:6" x14ac:dyDescent="0.25">
      <c r="A198" s="7" t="s">
        <v>43</v>
      </c>
    </row>
    <row r="199" spans="1:6" x14ac:dyDescent="0.25">
      <c r="A199" s="8" t="s">
        <v>118</v>
      </c>
      <c r="B199" s="8" t="s">
        <v>119</v>
      </c>
      <c r="C199" s="8" t="s">
        <v>120</v>
      </c>
      <c r="D199" s="8" t="s">
        <v>121</v>
      </c>
      <c r="E199" s="8" t="s">
        <v>122</v>
      </c>
      <c r="F199" s="8" t="s">
        <v>123</v>
      </c>
    </row>
    <row r="200" spans="1:6" ht="27.95" customHeight="1" x14ac:dyDescent="0.25">
      <c r="A200" s="9">
        <v>44121</v>
      </c>
      <c r="B200" s="10">
        <v>4572</v>
      </c>
      <c r="C200" s="11" t="s">
        <v>228</v>
      </c>
      <c r="D200" s="11" t="s">
        <v>238</v>
      </c>
      <c r="E200" s="11"/>
      <c r="F200" s="12" t="s">
        <v>185</v>
      </c>
    </row>
    <row r="201" spans="1:6" ht="18" customHeight="1" x14ac:dyDescent="0.25">
      <c r="A201" s="13">
        <v>44306</v>
      </c>
      <c r="B201" s="14">
        <v>7672</v>
      </c>
      <c r="C201" s="15" t="s">
        <v>228</v>
      </c>
      <c r="D201" s="15" t="s">
        <v>239</v>
      </c>
      <c r="E201" s="15"/>
      <c r="F201" s="16" t="s">
        <v>127</v>
      </c>
    </row>
    <row r="202" spans="1:6" ht="18" customHeight="1" x14ac:dyDescent="0.25">
      <c r="A202" s="9">
        <v>44537</v>
      </c>
      <c r="B202" s="10">
        <v>5194</v>
      </c>
      <c r="C202" s="11" t="s">
        <v>228</v>
      </c>
      <c r="D202" s="11" t="s">
        <v>240</v>
      </c>
      <c r="E202" s="11"/>
      <c r="F202" s="12" t="s">
        <v>130</v>
      </c>
    </row>
    <row r="203" spans="1:6" ht="18" customHeight="1" x14ac:dyDescent="0.25">
      <c r="A203" s="13">
        <v>44601</v>
      </c>
      <c r="B203" s="14">
        <v>3557</v>
      </c>
      <c r="C203" s="15" t="s">
        <v>228</v>
      </c>
      <c r="D203" s="15" t="s">
        <v>241</v>
      </c>
      <c r="E203" s="15" t="s">
        <v>242</v>
      </c>
      <c r="F203" s="16" t="s">
        <v>189</v>
      </c>
    </row>
    <row r="204" spans="1:6" ht="18" customHeight="1" x14ac:dyDescent="0.25">
      <c r="A204" s="9">
        <v>44621</v>
      </c>
      <c r="B204" s="10">
        <v>3856</v>
      </c>
      <c r="C204" s="11" t="s">
        <v>228</v>
      </c>
      <c r="D204" s="11" t="s">
        <v>241</v>
      </c>
      <c r="E204" s="11" t="s">
        <v>242</v>
      </c>
      <c r="F204" s="12" t="s">
        <v>190</v>
      </c>
    </row>
    <row r="205" spans="1:6" ht="18" customHeight="1" x14ac:dyDescent="0.25">
      <c r="A205" s="13">
        <v>44623</v>
      </c>
      <c r="B205" s="14">
        <v>4680</v>
      </c>
      <c r="C205" s="15" t="s">
        <v>228</v>
      </c>
      <c r="D205" s="15" t="s">
        <v>241</v>
      </c>
      <c r="E205" s="15" t="s">
        <v>242</v>
      </c>
      <c r="F205" s="16" t="s">
        <v>191</v>
      </c>
    </row>
    <row r="206" spans="1:6" ht="27.95" customHeight="1" x14ac:dyDescent="0.25">
      <c r="A206" s="9">
        <v>45580</v>
      </c>
      <c r="B206" s="10">
        <v>4260</v>
      </c>
      <c r="C206" s="11" t="s">
        <v>228</v>
      </c>
      <c r="D206" s="11" t="s">
        <v>240</v>
      </c>
      <c r="E206" s="11"/>
      <c r="F206" s="12" t="s">
        <v>132</v>
      </c>
    </row>
    <row r="207" spans="1:6" ht="18" customHeight="1" x14ac:dyDescent="0.25">
      <c r="A207" s="13">
        <v>45805</v>
      </c>
      <c r="B207" s="14">
        <v>4700</v>
      </c>
      <c r="C207" s="15" t="s">
        <v>228</v>
      </c>
      <c r="D207" s="15" t="s">
        <v>240</v>
      </c>
      <c r="E207" s="15"/>
      <c r="F207" s="16" t="s">
        <v>193</v>
      </c>
    </row>
    <row r="208" spans="1:6" ht="18" customHeight="1" x14ac:dyDescent="0.25">
      <c r="A208" s="9">
        <v>45866</v>
      </c>
      <c r="B208" s="10">
        <v>5270</v>
      </c>
      <c r="C208" s="11" t="s">
        <v>228</v>
      </c>
      <c r="D208" s="11" t="s">
        <v>240</v>
      </c>
      <c r="E208" s="11"/>
      <c r="F208" s="12" t="s">
        <v>134</v>
      </c>
    </row>
    <row r="209" spans="1:6" ht="18" customHeight="1" x14ac:dyDescent="0.25">
      <c r="A209" s="13">
        <v>46056</v>
      </c>
      <c r="B209" s="14">
        <v>3690</v>
      </c>
      <c r="C209" s="15" t="s">
        <v>228</v>
      </c>
      <c r="D209" s="15" t="s">
        <v>240</v>
      </c>
      <c r="E209" s="15"/>
      <c r="F209" s="16" t="s">
        <v>136</v>
      </c>
    </row>
    <row r="210" spans="1:6" ht="18" customHeight="1" x14ac:dyDescent="0.25">
      <c r="A210" s="9">
        <v>46232</v>
      </c>
      <c r="B210" s="10">
        <v>1030</v>
      </c>
      <c r="C210" s="11" t="s">
        <v>228</v>
      </c>
      <c r="D210" s="11" t="s">
        <v>240</v>
      </c>
      <c r="E210" s="11" t="s">
        <v>126</v>
      </c>
      <c r="F210" s="12" t="s">
        <v>194</v>
      </c>
    </row>
    <row r="211" spans="1:6" ht="27.95" customHeight="1" x14ac:dyDescent="0.25">
      <c r="A211" s="13">
        <v>46246</v>
      </c>
      <c r="B211" s="14">
        <v>4180</v>
      </c>
      <c r="C211" s="15" t="s">
        <v>228</v>
      </c>
      <c r="D211" s="15" t="s">
        <v>240</v>
      </c>
      <c r="E211" s="15" t="s">
        <v>233</v>
      </c>
      <c r="F211" s="16" t="s">
        <v>144</v>
      </c>
    </row>
    <row r="212" spans="1:6" s="17" customFormat="1" ht="8.1" customHeight="1" x14ac:dyDescent="0.15"/>
    <row r="213" spans="1:6" ht="18" customHeight="1" x14ac:dyDescent="0.25">
      <c r="A213" s="26" t="s">
        <v>44</v>
      </c>
      <c r="B213" s="26"/>
      <c r="C213" s="26"/>
      <c r="D213" s="26"/>
      <c r="E213" s="26"/>
      <c r="F213" s="26"/>
    </row>
    <row r="214" spans="1:6" x14ac:dyDescent="0.25">
      <c r="A214" s="7" t="s">
        <v>43</v>
      </c>
    </row>
    <row r="215" spans="1:6" x14ac:dyDescent="0.25">
      <c r="A215" s="8" t="s">
        <v>118</v>
      </c>
      <c r="B215" s="8" t="s">
        <v>119</v>
      </c>
      <c r="C215" s="8" t="s">
        <v>120</v>
      </c>
      <c r="D215" s="8" t="s">
        <v>121</v>
      </c>
      <c r="E215" s="8" t="s">
        <v>122</v>
      </c>
      <c r="F215" s="8" t="s">
        <v>123</v>
      </c>
    </row>
    <row r="216" spans="1:6" ht="27.95" customHeight="1" x14ac:dyDescent="0.25">
      <c r="A216" s="9">
        <v>44121</v>
      </c>
      <c r="B216" s="10">
        <v>444</v>
      </c>
      <c r="C216" s="11" t="s">
        <v>228</v>
      </c>
      <c r="D216" s="11" t="s">
        <v>243</v>
      </c>
      <c r="E216" s="11"/>
      <c r="F216" s="12" t="s">
        <v>185</v>
      </c>
    </row>
    <row r="217" spans="1:6" ht="18" customHeight="1" x14ac:dyDescent="0.25">
      <c r="A217" s="13">
        <v>44306</v>
      </c>
      <c r="B217" s="14">
        <v>671</v>
      </c>
      <c r="C217" s="15" t="s">
        <v>228</v>
      </c>
      <c r="D217" s="15" t="s">
        <v>244</v>
      </c>
      <c r="E217" s="15"/>
      <c r="F217" s="16" t="s">
        <v>127</v>
      </c>
    </row>
    <row r="218" spans="1:6" ht="18" customHeight="1" x14ac:dyDescent="0.25">
      <c r="A218" s="9">
        <v>44537</v>
      </c>
      <c r="B218" s="10">
        <v>668</v>
      </c>
      <c r="C218" s="11" t="s">
        <v>228</v>
      </c>
      <c r="D218" s="11" t="s">
        <v>245</v>
      </c>
      <c r="E218" s="11"/>
      <c r="F218" s="12" t="s">
        <v>130</v>
      </c>
    </row>
    <row r="219" spans="1:6" ht="18" customHeight="1" x14ac:dyDescent="0.25">
      <c r="A219" s="13">
        <v>44601</v>
      </c>
      <c r="B219" s="14">
        <v>936</v>
      </c>
      <c r="C219" s="15" t="s">
        <v>228</v>
      </c>
      <c r="D219" s="15" t="s">
        <v>246</v>
      </c>
      <c r="E219" s="15"/>
      <c r="F219" s="16" t="s">
        <v>189</v>
      </c>
    </row>
    <row r="220" spans="1:6" ht="18" customHeight="1" x14ac:dyDescent="0.25">
      <c r="A220" s="9">
        <v>44621</v>
      </c>
      <c r="B220" s="10">
        <v>428</v>
      </c>
      <c r="C220" s="11" t="s">
        <v>228</v>
      </c>
      <c r="D220" s="11" t="s">
        <v>246</v>
      </c>
      <c r="E220" s="11"/>
      <c r="F220" s="12" t="s">
        <v>190</v>
      </c>
    </row>
    <row r="221" spans="1:6" ht="18" customHeight="1" x14ac:dyDescent="0.25">
      <c r="A221" s="13">
        <v>44623</v>
      </c>
      <c r="B221" s="14">
        <v>903</v>
      </c>
      <c r="C221" s="15" t="s">
        <v>228</v>
      </c>
      <c r="D221" s="15" t="s">
        <v>246</v>
      </c>
      <c r="E221" s="15"/>
      <c r="F221" s="16" t="s">
        <v>191</v>
      </c>
    </row>
    <row r="222" spans="1:6" ht="27.95" customHeight="1" x14ac:dyDescent="0.25">
      <c r="A222" s="9">
        <v>45580</v>
      </c>
      <c r="B222" s="10">
        <v>940</v>
      </c>
      <c r="C222" s="11" t="s">
        <v>228</v>
      </c>
      <c r="D222" s="11" t="s">
        <v>247</v>
      </c>
      <c r="E222" s="11"/>
      <c r="F222" s="12" t="s">
        <v>132</v>
      </c>
    </row>
    <row r="223" spans="1:6" ht="18" customHeight="1" x14ac:dyDescent="0.25">
      <c r="A223" s="13">
        <v>45805</v>
      </c>
      <c r="B223" s="14">
        <v>820</v>
      </c>
      <c r="C223" s="15" t="s">
        <v>228</v>
      </c>
      <c r="D223" s="15" t="s">
        <v>247</v>
      </c>
      <c r="E223" s="15"/>
      <c r="F223" s="16" t="s">
        <v>193</v>
      </c>
    </row>
    <row r="224" spans="1:6" ht="18" customHeight="1" x14ac:dyDescent="0.25">
      <c r="A224" s="9">
        <v>45866</v>
      </c>
      <c r="B224" s="10">
        <v>1420</v>
      </c>
      <c r="C224" s="11" t="s">
        <v>228</v>
      </c>
      <c r="D224" s="11" t="s">
        <v>247</v>
      </c>
      <c r="E224" s="11" t="s">
        <v>197</v>
      </c>
      <c r="F224" s="12" t="s">
        <v>134</v>
      </c>
    </row>
    <row r="225" spans="1:6" ht="18" customHeight="1" x14ac:dyDescent="0.25">
      <c r="A225" s="13">
        <v>46056</v>
      </c>
      <c r="B225" s="14">
        <v>910</v>
      </c>
      <c r="C225" s="15" t="s">
        <v>228</v>
      </c>
      <c r="D225" s="15" t="s">
        <v>247</v>
      </c>
      <c r="E225" s="15"/>
      <c r="F225" s="16" t="s">
        <v>136</v>
      </c>
    </row>
    <row r="226" spans="1:6" ht="18" customHeight="1" x14ac:dyDescent="0.25">
      <c r="A226" s="9">
        <v>46232</v>
      </c>
      <c r="B226" s="10">
        <v>1030</v>
      </c>
      <c r="C226" s="11" t="s">
        <v>228</v>
      </c>
      <c r="D226" s="11" t="s">
        <v>247</v>
      </c>
      <c r="E226" s="11" t="s">
        <v>197</v>
      </c>
      <c r="F226" s="12" t="s">
        <v>194</v>
      </c>
    </row>
    <row r="227" spans="1:6" ht="27.95" customHeight="1" x14ac:dyDescent="0.25">
      <c r="A227" s="13">
        <v>46246</v>
      </c>
      <c r="B227" s="14">
        <v>800</v>
      </c>
      <c r="C227" s="15" t="s">
        <v>228</v>
      </c>
      <c r="D227" s="15" t="s">
        <v>247</v>
      </c>
      <c r="E227" s="15" t="s">
        <v>233</v>
      </c>
      <c r="F227" s="16" t="s">
        <v>144</v>
      </c>
    </row>
    <row r="228" spans="1:6" s="17" customFormat="1" ht="8.1" customHeight="1" x14ac:dyDescent="0.15"/>
    <row r="229" spans="1:6" ht="18" customHeight="1" x14ac:dyDescent="0.25">
      <c r="A229" s="26" t="s">
        <v>45</v>
      </c>
      <c r="B229" s="26"/>
      <c r="C229" s="26"/>
      <c r="D229" s="26"/>
      <c r="E229" s="26"/>
      <c r="F229" s="26"/>
    </row>
    <row r="230" spans="1:6" x14ac:dyDescent="0.25">
      <c r="A230" s="7" t="s">
        <v>43</v>
      </c>
    </row>
    <row r="231" spans="1:6" x14ac:dyDescent="0.25">
      <c r="A231" s="8" t="s">
        <v>118</v>
      </c>
      <c r="B231" s="8" t="s">
        <v>119</v>
      </c>
      <c r="C231" s="8" t="s">
        <v>120</v>
      </c>
      <c r="D231" s="8" t="s">
        <v>121</v>
      </c>
      <c r="E231" s="8" t="s">
        <v>122</v>
      </c>
      <c r="F231" s="8" t="s">
        <v>123</v>
      </c>
    </row>
    <row r="232" spans="1:6" ht="27.95" customHeight="1" x14ac:dyDescent="0.25">
      <c r="A232" s="9">
        <v>44121</v>
      </c>
      <c r="B232" s="10">
        <v>64</v>
      </c>
      <c r="C232" s="11" t="s">
        <v>228</v>
      </c>
      <c r="D232" s="11" t="s">
        <v>248</v>
      </c>
      <c r="E232" s="11"/>
      <c r="F232" s="12" t="s">
        <v>185</v>
      </c>
    </row>
    <row r="233" spans="1:6" ht="18" customHeight="1" x14ac:dyDescent="0.25">
      <c r="A233" s="13">
        <v>44306</v>
      </c>
      <c r="B233" s="14">
        <v>192</v>
      </c>
      <c r="C233" s="15" t="s">
        <v>228</v>
      </c>
      <c r="D233" s="15" t="s">
        <v>249</v>
      </c>
      <c r="E233" s="15"/>
      <c r="F233" s="16" t="s">
        <v>127</v>
      </c>
    </row>
    <row r="234" spans="1:6" ht="18" customHeight="1" x14ac:dyDescent="0.25">
      <c r="A234" s="9">
        <v>44537</v>
      </c>
      <c r="B234" s="10">
        <v>74</v>
      </c>
      <c r="C234" s="11" t="s">
        <v>228</v>
      </c>
      <c r="D234" s="11" t="s">
        <v>250</v>
      </c>
      <c r="E234" s="11"/>
      <c r="F234" s="12" t="s">
        <v>130</v>
      </c>
    </row>
    <row r="235" spans="1:6" ht="18" customHeight="1" x14ac:dyDescent="0.25">
      <c r="A235" s="13">
        <v>44601</v>
      </c>
      <c r="B235" s="14">
        <v>94</v>
      </c>
      <c r="C235" s="15" t="s">
        <v>228</v>
      </c>
      <c r="D235" s="15" t="s">
        <v>251</v>
      </c>
      <c r="E235" s="15"/>
      <c r="F235" s="16" t="s">
        <v>189</v>
      </c>
    </row>
    <row r="236" spans="1:6" ht="18" customHeight="1" x14ac:dyDescent="0.25">
      <c r="A236" s="9">
        <v>44621</v>
      </c>
      <c r="B236" s="10">
        <v>71</v>
      </c>
      <c r="C236" s="11" t="s">
        <v>228</v>
      </c>
      <c r="D236" s="11" t="s">
        <v>251</v>
      </c>
      <c r="E236" s="11"/>
      <c r="F236" s="12" t="s">
        <v>190</v>
      </c>
    </row>
    <row r="237" spans="1:6" ht="27.95" customHeight="1" x14ac:dyDescent="0.25">
      <c r="A237" s="13">
        <v>45580</v>
      </c>
      <c r="B237" s="14">
        <v>100</v>
      </c>
      <c r="C237" s="15" t="s">
        <v>228</v>
      </c>
      <c r="D237" s="15" t="s">
        <v>252</v>
      </c>
      <c r="E237" s="15" t="s">
        <v>253</v>
      </c>
      <c r="F237" s="16" t="s">
        <v>132</v>
      </c>
    </row>
    <row r="238" spans="1:6" ht="18" customHeight="1" x14ac:dyDescent="0.25">
      <c r="A238" s="9">
        <v>45805</v>
      </c>
      <c r="B238" s="10">
        <v>140</v>
      </c>
      <c r="C238" s="11" t="s">
        <v>228</v>
      </c>
      <c r="D238" s="11" t="s">
        <v>252</v>
      </c>
      <c r="E238" s="11"/>
      <c r="F238" s="12" t="s">
        <v>193</v>
      </c>
    </row>
    <row r="239" spans="1:6" ht="18" customHeight="1" x14ac:dyDescent="0.25">
      <c r="A239" s="13">
        <v>45866</v>
      </c>
      <c r="B239" s="14">
        <v>100</v>
      </c>
      <c r="C239" s="15" t="s">
        <v>228</v>
      </c>
      <c r="D239" s="15" t="s">
        <v>252</v>
      </c>
      <c r="E239" s="15" t="s">
        <v>253</v>
      </c>
      <c r="F239" s="16" t="s">
        <v>134</v>
      </c>
    </row>
    <row r="240" spans="1:6" ht="18" customHeight="1" x14ac:dyDescent="0.25">
      <c r="A240" s="9">
        <v>46056</v>
      </c>
      <c r="B240" s="10">
        <v>190</v>
      </c>
      <c r="C240" s="11" t="s">
        <v>228</v>
      </c>
      <c r="D240" s="11" t="s">
        <v>252</v>
      </c>
      <c r="E240" s="11"/>
      <c r="F240" s="12" t="s">
        <v>136</v>
      </c>
    </row>
    <row r="241" spans="1:6" ht="18" customHeight="1" x14ac:dyDescent="0.25">
      <c r="A241" s="13">
        <v>46232</v>
      </c>
      <c r="B241" s="14">
        <v>0</v>
      </c>
      <c r="C241" s="15" t="s">
        <v>228</v>
      </c>
      <c r="D241" s="15" t="s">
        <v>252</v>
      </c>
      <c r="E241" s="15" t="s">
        <v>126</v>
      </c>
      <c r="F241" s="16" t="s">
        <v>194</v>
      </c>
    </row>
    <row r="242" spans="1:6" ht="27.95" customHeight="1" x14ac:dyDescent="0.25">
      <c r="A242" s="9">
        <v>46246</v>
      </c>
      <c r="B242" s="10">
        <v>100</v>
      </c>
      <c r="C242" s="11" t="s">
        <v>228</v>
      </c>
      <c r="D242" s="11" t="s">
        <v>252</v>
      </c>
      <c r="E242" s="11" t="s">
        <v>253</v>
      </c>
      <c r="F242" s="12" t="s">
        <v>144</v>
      </c>
    </row>
    <row r="243" spans="1:6" s="17" customFormat="1" ht="8.1" customHeight="1" x14ac:dyDescent="0.15"/>
    <row r="244" spans="1:6" ht="18" customHeight="1" x14ac:dyDescent="0.25">
      <c r="A244" s="26" t="s">
        <v>46</v>
      </c>
      <c r="B244" s="26"/>
      <c r="C244" s="26"/>
      <c r="D244" s="26"/>
      <c r="E244" s="26"/>
      <c r="F244" s="26"/>
    </row>
    <row r="245" spans="1:6" x14ac:dyDescent="0.25">
      <c r="A245" s="7" t="s">
        <v>47</v>
      </c>
    </row>
    <row r="246" spans="1:6" x14ac:dyDescent="0.25">
      <c r="A246" s="8" t="s">
        <v>118</v>
      </c>
      <c r="B246" s="8" t="s">
        <v>119</v>
      </c>
      <c r="C246" s="8" t="s">
        <v>120</v>
      </c>
      <c r="D246" s="8" t="s">
        <v>121</v>
      </c>
      <c r="E246" s="8" t="s">
        <v>122</v>
      </c>
      <c r="F246" s="8" t="s">
        <v>123</v>
      </c>
    </row>
    <row r="247" spans="1:6" ht="27.95" customHeight="1" x14ac:dyDescent="0.25">
      <c r="A247" s="9">
        <v>45580</v>
      </c>
      <c r="B247" s="10">
        <v>30</v>
      </c>
      <c r="C247" s="11" t="s">
        <v>228</v>
      </c>
      <c r="D247" s="11" t="s">
        <v>254</v>
      </c>
      <c r="E247" s="11"/>
      <c r="F247" s="12" t="s">
        <v>132</v>
      </c>
    </row>
    <row r="248" spans="1:6" ht="18" customHeight="1" x14ac:dyDescent="0.25">
      <c r="A248" s="13">
        <v>45805</v>
      </c>
      <c r="B248" s="14">
        <v>60</v>
      </c>
      <c r="C248" s="15" t="s">
        <v>228</v>
      </c>
      <c r="D248" s="15" t="s">
        <v>254</v>
      </c>
      <c r="E248" s="15"/>
      <c r="F248" s="16" t="s">
        <v>193</v>
      </c>
    </row>
    <row r="249" spans="1:6" ht="18" customHeight="1" x14ac:dyDescent="0.25">
      <c r="A249" s="9">
        <v>45866</v>
      </c>
      <c r="B249" s="10">
        <v>70</v>
      </c>
      <c r="C249" s="11" t="s">
        <v>228</v>
      </c>
      <c r="D249" s="11" t="s">
        <v>254</v>
      </c>
      <c r="E249" s="11"/>
      <c r="F249" s="12" t="s">
        <v>134</v>
      </c>
    </row>
    <row r="250" spans="1:6" ht="18" customHeight="1" x14ac:dyDescent="0.25">
      <c r="A250" s="13">
        <v>46056</v>
      </c>
      <c r="B250" s="14">
        <v>30</v>
      </c>
      <c r="C250" s="15" t="s">
        <v>228</v>
      </c>
      <c r="D250" s="15" t="s">
        <v>254</v>
      </c>
      <c r="E250" s="15"/>
      <c r="F250" s="16" t="s">
        <v>136</v>
      </c>
    </row>
    <row r="251" spans="1:6" ht="18" customHeight="1" x14ac:dyDescent="0.25">
      <c r="A251" s="9">
        <v>46232</v>
      </c>
      <c r="B251" s="10">
        <v>10</v>
      </c>
      <c r="C251" s="11" t="s">
        <v>228</v>
      </c>
      <c r="D251" s="11" t="s">
        <v>254</v>
      </c>
      <c r="E251" s="11"/>
      <c r="F251" s="12" t="s">
        <v>194</v>
      </c>
    </row>
    <row r="252" spans="1:6" ht="27.95" customHeight="1" x14ac:dyDescent="0.25">
      <c r="A252" s="13">
        <v>46246</v>
      </c>
      <c r="B252" s="14">
        <v>40</v>
      </c>
      <c r="C252" s="15" t="s">
        <v>228</v>
      </c>
      <c r="D252" s="15" t="s">
        <v>254</v>
      </c>
      <c r="E252" s="15"/>
      <c r="F252" s="16" t="s">
        <v>144</v>
      </c>
    </row>
    <row r="253" spans="1:6" s="17" customFormat="1" ht="8.1" customHeight="1" x14ac:dyDescent="0.15"/>
    <row r="254" spans="1:6" ht="18" customHeight="1" x14ac:dyDescent="0.25">
      <c r="A254" s="26" t="s">
        <v>48</v>
      </c>
      <c r="B254" s="26"/>
      <c r="C254" s="26"/>
      <c r="D254" s="26"/>
      <c r="E254" s="26"/>
      <c r="F254" s="26"/>
    </row>
    <row r="255" spans="1:6" x14ac:dyDescent="0.25">
      <c r="A255" s="7" t="s">
        <v>49</v>
      </c>
    </row>
    <row r="256" spans="1:6" x14ac:dyDescent="0.25">
      <c r="A256" s="8" t="s">
        <v>118</v>
      </c>
      <c r="B256" s="8" t="s">
        <v>119</v>
      </c>
      <c r="C256" s="8" t="s">
        <v>120</v>
      </c>
      <c r="D256" s="8" t="s">
        <v>121</v>
      </c>
      <c r="E256" s="8" t="s">
        <v>122</v>
      </c>
      <c r="F256" s="8" t="s">
        <v>123</v>
      </c>
    </row>
    <row r="257" spans="1:6" ht="27.95" customHeight="1" x14ac:dyDescent="0.25">
      <c r="A257" s="9">
        <v>44121</v>
      </c>
      <c r="B257" s="10">
        <v>180000</v>
      </c>
      <c r="C257" s="11" t="s">
        <v>228</v>
      </c>
      <c r="D257" s="11" t="s">
        <v>255</v>
      </c>
      <c r="E257" s="11"/>
      <c r="F257" s="12" t="s">
        <v>185</v>
      </c>
    </row>
    <row r="258" spans="1:6" ht="18" customHeight="1" x14ac:dyDescent="0.25">
      <c r="A258" s="13">
        <v>44306</v>
      </c>
      <c r="B258" s="14">
        <v>185000</v>
      </c>
      <c r="C258" s="15" t="s">
        <v>228</v>
      </c>
      <c r="D258" s="15" t="s">
        <v>255</v>
      </c>
      <c r="E258" s="15"/>
      <c r="F258" s="16" t="s">
        <v>127</v>
      </c>
    </row>
    <row r="259" spans="1:6" ht="18" customHeight="1" x14ac:dyDescent="0.25">
      <c r="A259" s="9">
        <v>44537</v>
      </c>
      <c r="B259" s="10">
        <v>231000</v>
      </c>
      <c r="C259" s="11" t="s">
        <v>228</v>
      </c>
      <c r="D259" s="11" t="s">
        <v>255</v>
      </c>
      <c r="E259" s="11"/>
      <c r="F259" s="12" t="s">
        <v>130</v>
      </c>
    </row>
    <row r="260" spans="1:6" ht="18" customHeight="1" x14ac:dyDescent="0.25">
      <c r="A260" s="13">
        <v>44601</v>
      </c>
      <c r="B260" s="14">
        <v>303000</v>
      </c>
      <c r="C260" s="15" t="s">
        <v>228</v>
      </c>
      <c r="D260" s="15" t="s">
        <v>256</v>
      </c>
      <c r="E260" s="15"/>
      <c r="F260" s="16" t="s">
        <v>189</v>
      </c>
    </row>
    <row r="261" spans="1:6" ht="18" customHeight="1" x14ac:dyDescent="0.25">
      <c r="A261" s="9">
        <v>44621</v>
      </c>
      <c r="B261" s="10">
        <v>350000</v>
      </c>
      <c r="C261" s="11" t="s">
        <v>228</v>
      </c>
      <c r="D261" s="11" t="s">
        <v>256</v>
      </c>
      <c r="E261" s="11"/>
      <c r="F261" s="12" t="s">
        <v>190</v>
      </c>
    </row>
    <row r="262" spans="1:6" ht="18" customHeight="1" x14ac:dyDescent="0.25">
      <c r="A262" s="13">
        <v>44623</v>
      </c>
      <c r="B262" s="14">
        <v>367000</v>
      </c>
      <c r="C262" s="15" t="s">
        <v>228</v>
      </c>
      <c r="D262" s="15" t="s">
        <v>256</v>
      </c>
      <c r="E262" s="15"/>
      <c r="F262" s="16" t="s">
        <v>191</v>
      </c>
    </row>
    <row r="263" spans="1:6" ht="27.95" customHeight="1" x14ac:dyDescent="0.25">
      <c r="A263" s="9">
        <v>45580</v>
      </c>
      <c r="B263" s="10">
        <v>379000</v>
      </c>
      <c r="C263" s="11" t="s">
        <v>228</v>
      </c>
      <c r="D263" s="11" t="s">
        <v>255</v>
      </c>
      <c r="E263" s="11"/>
      <c r="F263" s="12" t="s">
        <v>132</v>
      </c>
    </row>
    <row r="264" spans="1:6" ht="18" customHeight="1" x14ac:dyDescent="0.25">
      <c r="A264" s="13">
        <v>45805</v>
      </c>
      <c r="B264" s="14">
        <v>365000</v>
      </c>
      <c r="C264" s="15" t="s">
        <v>228</v>
      </c>
      <c r="D264" s="15" t="s">
        <v>255</v>
      </c>
      <c r="E264" s="15"/>
      <c r="F264" s="16" t="s">
        <v>193</v>
      </c>
    </row>
    <row r="265" spans="1:6" ht="18" customHeight="1" x14ac:dyDescent="0.25">
      <c r="A265" s="9">
        <v>45866</v>
      </c>
      <c r="B265" s="10">
        <v>401000</v>
      </c>
      <c r="C265" s="11" t="s">
        <v>228</v>
      </c>
      <c r="D265" s="11" t="s">
        <v>255</v>
      </c>
      <c r="E265" s="11"/>
      <c r="F265" s="12" t="s">
        <v>134</v>
      </c>
    </row>
    <row r="266" spans="1:6" ht="18" customHeight="1" x14ac:dyDescent="0.25">
      <c r="A266" s="13">
        <v>46056</v>
      </c>
      <c r="B266" s="14">
        <v>309000</v>
      </c>
      <c r="C266" s="15" t="s">
        <v>228</v>
      </c>
      <c r="D266" s="15" t="s">
        <v>255</v>
      </c>
      <c r="E266" s="15"/>
      <c r="F266" s="16" t="s">
        <v>136</v>
      </c>
    </row>
    <row r="267" spans="1:6" ht="18" customHeight="1" x14ac:dyDescent="0.25">
      <c r="A267" s="9">
        <v>46232</v>
      </c>
      <c r="B267" s="10">
        <v>202000</v>
      </c>
      <c r="C267" s="11" t="s">
        <v>228</v>
      </c>
      <c r="D267" s="11" t="s">
        <v>255</v>
      </c>
      <c r="E267" s="11"/>
      <c r="F267" s="12" t="s">
        <v>194</v>
      </c>
    </row>
    <row r="268" spans="1:6" ht="27.95" customHeight="1" x14ac:dyDescent="0.25">
      <c r="A268" s="13">
        <v>46246</v>
      </c>
      <c r="B268" s="14">
        <v>458000</v>
      </c>
      <c r="C268" s="15" t="s">
        <v>228</v>
      </c>
      <c r="D268" s="15" t="s">
        <v>255</v>
      </c>
      <c r="E268" s="15" t="s">
        <v>197</v>
      </c>
      <c r="F268" s="16" t="s">
        <v>144</v>
      </c>
    </row>
    <row r="269" spans="1:6" s="17" customFormat="1" ht="8.1" customHeight="1" x14ac:dyDescent="0.15"/>
    <row r="270" spans="1:6" ht="18" customHeight="1" x14ac:dyDescent="0.25">
      <c r="A270" s="26" t="s">
        <v>50</v>
      </c>
      <c r="B270" s="26"/>
      <c r="C270" s="26"/>
      <c r="D270" s="26"/>
      <c r="E270" s="26"/>
      <c r="F270" s="26"/>
    </row>
    <row r="271" spans="1:6" x14ac:dyDescent="0.25">
      <c r="A271" s="7" t="s">
        <v>51</v>
      </c>
    </row>
    <row r="272" spans="1:6" x14ac:dyDescent="0.25">
      <c r="A272" s="8" t="s">
        <v>118</v>
      </c>
      <c r="B272" s="8" t="s">
        <v>119</v>
      </c>
      <c r="C272" s="8" t="s">
        <v>120</v>
      </c>
      <c r="D272" s="8" t="s">
        <v>121</v>
      </c>
      <c r="E272" s="8" t="s">
        <v>122</v>
      </c>
      <c r="F272" s="8" t="s">
        <v>123</v>
      </c>
    </row>
    <row r="273" spans="1:6" ht="18" customHeight="1" x14ac:dyDescent="0.25">
      <c r="A273" s="9">
        <v>44121</v>
      </c>
      <c r="B273" s="10">
        <v>28</v>
      </c>
      <c r="C273" s="11" t="s">
        <v>202</v>
      </c>
      <c r="D273" s="11" t="s">
        <v>257</v>
      </c>
      <c r="E273" s="11" t="s">
        <v>126</v>
      </c>
      <c r="F273" s="12" t="s">
        <v>258</v>
      </c>
    </row>
    <row r="274" spans="1:6" s="17" customFormat="1" ht="8.1" customHeight="1" x14ac:dyDescent="0.15"/>
    <row r="275" spans="1:6" ht="18" customHeight="1" x14ac:dyDescent="0.25">
      <c r="A275" s="26" t="s">
        <v>52</v>
      </c>
      <c r="B275" s="26"/>
      <c r="C275" s="26"/>
      <c r="D275" s="26"/>
      <c r="E275" s="26"/>
      <c r="F275" s="26"/>
    </row>
    <row r="276" spans="1:6" x14ac:dyDescent="0.25">
      <c r="A276" s="7" t="s">
        <v>53</v>
      </c>
    </row>
    <row r="277" spans="1:6" x14ac:dyDescent="0.25">
      <c r="A277" s="8" t="s">
        <v>118</v>
      </c>
      <c r="B277" s="8" t="s">
        <v>119</v>
      </c>
      <c r="C277" s="8" t="s">
        <v>120</v>
      </c>
      <c r="D277" s="8" t="s">
        <v>121</v>
      </c>
      <c r="E277" s="8" t="s">
        <v>122</v>
      </c>
      <c r="F277" s="8" t="s">
        <v>123</v>
      </c>
    </row>
    <row r="278" spans="1:6" ht="18" customHeight="1" x14ac:dyDescent="0.25">
      <c r="A278" s="9">
        <v>44601</v>
      </c>
      <c r="B278" s="10">
        <v>1.9</v>
      </c>
      <c r="C278" s="11" t="s">
        <v>259</v>
      </c>
      <c r="D278" s="11" t="s">
        <v>260</v>
      </c>
      <c r="E278" s="11" t="s">
        <v>261</v>
      </c>
      <c r="F278" s="12" t="s">
        <v>189</v>
      </c>
    </row>
    <row r="279" spans="1:6" ht="18" customHeight="1" x14ac:dyDescent="0.25">
      <c r="A279" s="13">
        <v>44621</v>
      </c>
      <c r="B279" s="14">
        <v>1</v>
      </c>
      <c r="C279" s="15" t="s">
        <v>259</v>
      </c>
      <c r="D279" s="15" t="s">
        <v>260</v>
      </c>
      <c r="E279" s="15" t="s">
        <v>261</v>
      </c>
      <c r="F279" s="16" t="s">
        <v>190</v>
      </c>
    </row>
    <row r="280" spans="1:6" ht="18" customHeight="1" x14ac:dyDescent="0.25">
      <c r="A280" s="9">
        <v>46232</v>
      </c>
      <c r="B280" s="10">
        <v>4</v>
      </c>
      <c r="C280" s="11" t="s">
        <v>259</v>
      </c>
      <c r="D280" s="11" t="s">
        <v>262</v>
      </c>
      <c r="E280" s="11" t="s">
        <v>263</v>
      </c>
      <c r="F280" s="12" t="s">
        <v>194</v>
      </c>
    </row>
    <row r="281" spans="1:6" s="17" customFormat="1" ht="8.1" customHeight="1" x14ac:dyDescent="0.15"/>
    <row r="282" spans="1:6" ht="20.100000000000001" customHeight="1" x14ac:dyDescent="0.25">
      <c r="A282" s="25" t="s">
        <v>54</v>
      </c>
      <c r="B282" s="25"/>
      <c r="C282" s="25"/>
      <c r="D282" s="25"/>
      <c r="E282" s="25"/>
      <c r="F282" s="25"/>
    </row>
    <row r="283" spans="1:6" ht="18" customHeight="1" x14ac:dyDescent="0.25">
      <c r="A283" s="26" t="s">
        <v>55</v>
      </c>
      <c r="B283" s="26"/>
      <c r="C283" s="26"/>
      <c r="D283" s="26"/>
      <c r="E283" s="26"/>
      <c r="F283" s="26"/>
    </row>
    <row r="284" spans="1:6" x14ac:dyDescent="0.25">
      <c r="A284" s="7" t="s">
        <v>56</v>
      </c>
    </row>
    <row r="285" spans="1:6" x14ac:dyDescent="0.25">
      <c r="A285" s="8" t="s">
        <v>118</v>
      </c>
      <c r="B285" s="8" t="s">
        <v>264</v>
      </c>
      <c r="C285" s="27" t="s">
        <v>265</v>
      </c>
      <c r="D285" s="27"/>
      <c r="E285" s="8" t="s">
        <v>122</v>
      </c>
      <c r="F285" s="8" t="s">
        <v>123</v>
      </c>
    </row>
    <row r="286" spans="1:6" ht="45.95" customHeight="1" x14ac:dyDescent="0.25">
      <c r="A286" s="9">
        <v>44601</v>
      </c>
      <c r="B286" s="11" t="s">
        <v>266</v>
      </c>
      <c r="C286" s="28" t="s">
        <v>267</v>
      </c>
      <c r="D286" s="28"/>
      <c r="E286" s="18" t="s">
        <v>268</v>
      </c>
      <c r="F286" s="12" t="s">
        <v>189</v>
      </c>
    </row>
    <row r="287" spans="1:6" ht="36" customHeight="1" x14ac:dyDescent="0.25">
      <c r="A287" s="13">
        <v>44621</v>
      </c>
      <c r="B287" s="15" t="s">
        <v>266</v>
      </c>
      <c r="C287" s="29" t="s">
        <v>269</v>
      </c>
      <c r="D287" s="29"/>
      <c r="E287" s="19" t="s">
        <v>261</v>
      </c>
      <c r="F287" s="16" t="s">
        <v>270</v>
      </c>
    </row>
    <row r="288" spans="1:6" ht="36" customHeight="1" x14ac:dyDescent="0.25">
      <c r="A288" s="9">
        <v>44622</v>
      </c>
      <c r="B288" s="11" t="s">
        <v>271</v>
      </c>
      <c r="C288" s="28" t="s">
        <v>272</v>
      </c>
      <c r="D288" s="28"/>
      <c r="E288" s="18" t="s">
        <v>273</v>
      </c>
      <c r="F288" s="12" t="s">
        <v>274</v>
      </c>
    </row>
    <row r="289" spans="1:6" ht="45.95" customHeight="1" x14ac:dyDescent="0.25">
      <c r="A289" s="13">
        <v>44971</v>
      </c>
      <c r="B289" s="15" t="s">
        <v>275</v>
      </c>
      <c r="C289" s="29" t="s">
        <v>276</v>
      </c>
      <c r="D289" s="29"/>
      <c r="E289" s="19" t="s">
        <v>277</v>
      </c>
      <c r="F289" s="16" t="s">
        <v>278</v>
      </c>
    </row>
    <row r="290" spans="1:6" s="17" customFormat="1" ht="8.1" customHeight="1" x14ac:dyDescent="0.15"/>
    <row r="291" spans="1:6" ht="20.100000000000001" customHeight="1" x14ac:dyDescent="0.25">
      <c r="A291" s="25" t="s">
        <v>57</v>
      </c>
      <c r="B291" s="25"/>
      <c r="C291" s="25"/>
      <c r="D291" s="25"/>
      <c r="E291" s="25"/>
      <c r="F291" s="25"/>
    </row>
    <row r="292" spans="1:6" ht="18" customHeight="1" x14ac:dyDescent="0.25">
      <c r="A292" s="26" t="s">
        <v>58</v>
      </c>
      <c r="B292" s="26"/>
      <c r="C292" s="26"/>
      <c r="D292" s="26"/>
      <c r="E292" s="26"/>
      <c r="F292" s="26"/>
    </row>
    <row r="293" spans="1:6" x14ac:dyDescent="0.25">
      <c r="A293" s="7" t="s">
        <v>59</v>
      </c>
    </row>
    <row r="294" spans="1:6" x14ac:dyDescent="0.25">
      <c r="A294" s="8" t="s">
        <v>118</v>
      </c>
      <c r="B294" s="8" t="s">
        <v>119</v>
      </c>
      <c r="C294" s="8" t="s">
        <v>120</v>
      </c>
      <c r="D294" s="8" t="s">
        <v>121</v>
      </c>
      <c r="E294" s="8" t="s">
        <v>122</v>
      </c>
      <c r="F294" s="8" t="s">
        <v>123</v>
      </c>
    </row>
    <row r="295" spans="1:6" ht="27.95" customHeight="1" x14ac:dyDescent="0.25">
      <c r="A295" s="9">
        <v>45580</v>
      </c>
      <c r="B295" s="10">
        <v>11.6</v>
      </c>
      <c r="C295" s="11" t="s">
        <v>124</v>
      </c>
      <c r="D295" s="11" t="s">
        <v>279</v>
      </c>
      <c r="E295" s="11" t="s">
        <v>280</v>
      </c>
      <c r="F295" s="12" t="s">
        <v>132</v>
      </c>
    </row>
    <row r="296" spans="1:6" ht="18" customHeight="1" x14ac:dyDescent="0.25">
      <c r="A296" s="13">
        <v>45866</v>
      </c>
      <c r="B296" s="14">
        <v>6.9</v>
      </c>
      <c r="C296" s="15" t="s">
        <v>124</v>
      </c>
      <c r="D296" s="15" t="s">
        <v>279</v>
      </c>
      <c r="E296" s="15" t="s">
        <v>129</v>
      </c>
      <c r="F296" s="16" t="s">
        <v>134</v>
      </c>
    </row>
    <row r="297" spans="1:6" ht="18" customHeight="1" x14ac:dyDescent="0.25">
      <c r="A297" s="9">
        <v>46056</v>
      </c>
      <c r="B297" s="10">
        <v>19.5</v>
      </c>
      <c r="C297" s="11" t="s">
        <v>124</v>
      </c>
      <c r="D297" s="11" t="s">
        <v>279</v>
      </c>
      <c r="E297" s="11" t="s">
        <v>281</v>
      </c>
      <c r="F297" s="12" t="s">
        <v>136</v>
      </c>
    </row>
    <row r="298" spans="1:6" ht="27.95" customHeight="1" x14ac:dyDescent="0.25">
      <c r="A298" s="13">
        <v>46246</v>
      </c>
      <c r="B298" s="14">
        <v>44.1</v>
      </c>
      <c r="C298" s="15" t="s">
        <v>124</v>
      </c>
      <c r="D298" s="15" t="s">
        <v>279</v>
      </c>
      <c r="E298" s="15" t="s">
        <v>133</v>
      </c>
      <c r="F298" s="16" t="s">
        <v>144</v>
      </c>
    </row>
    <row r="299" spans="1:6" s="17" customFormat="1" ht="8.1" customHeight="1" x14ac:dyDescent="0.15"/>
    <row r="300" spans="1:6" ht="18" customHeight="1" x14ac:dyDescent="0.25">
      <c r="A300" s="26" t="s">
        <v>60</v>
      </c>
      <c r="B300" s="26"/>
      <c r="C300" s="26"/>
      <c r="D300" s="26"/>
      <c r="E300" s="26"/>
      <c r="F300" s="26"/>
    </row>
    <row r="301" spans="1:6" x14ac:dyDescent="0.25">
      <c r="A301" s="7" t="s">
        <v>61</v>
      </c>
    </row>
    <row r="302" spans="1:6" x14ac:dyDescent="0.25">
      <c r="A302" s="8" t="s">
        <v>118</v>
      </c>
      <c r="B302" s="8" t="s">
        <v>119</v>
      </c>
      <c r="C302" s="8" t="s">
        <v>120</v>
      </c>
      <c r="D302" s="8" t="s">
        <v>121</v>
      </c>
      <c r="E302" s="8" t="s">
        <v>122</v>
      </c>
      <c r="F302" s="8" t="s">
        <v>123</v>
      </c>
    </row>
    <row r="303" spans="1:6" ht="18" customHeight="1" x14ac:dyDescent="0.25">
      <c r="A303" s="9">
        <v>45866</v>
      </c>
      <c r="B303" s="10">
        <v>44</v>
      </c>
      <c r="C303" s="11" t="s">
        <v>282</v>
      </c>
      <c r="D303" s="11" t="s">
        <v>283</v>
      </c>
      <c r="E303" s="11" t="s">
        <v>126</v>
      </c>
      <c r="F303" s="12" t="s">
        <v>134</v>
      </c>
    </row>
    <row r="304" spans="1:6" ht="18" customHeight="1" x14ac:dyDescent="0.25">
      <c r="A304" s="13">
        <v>46056</v>
      </c>
      <c r="B304" s="14">
        <v>83</v>
      </c>
      <c r="C304" s="15" t="s">
        <v>282</v>
      </c>
      <c r="D304" s="15" t="s">
        <v>283</v>
      </c>
      <c r="E304" s="15" t="s">
        <v>284</v>
      </c>
      <c r="F304" s="16" t="s">
        <v>136</v>
      </c>
    </row>
    <row r="305" spans="1:6" ht="27.95" customHeight="1" x14ac:dyDescent="0.25">
      <c r="A305" s="9">
        <v>46246</v>
      </c>
      <c r="B305" s="10">
        <v>123</v>
      </c>
      <c r="C305" s="11" t="s">
        <v>282</v>
      </c>
      <c r="D305" s="11" t="s">
        <v>283</v>
      </c>
      <c r="E305" s="11" t="s">
        <v>285</v>
      </c>
      <c r="F305" s="12" t="s">
        <v>144</v>
      </c>
    </row>
    <row r="306" spans="1:6" s="17" customFormat="1" ht="8.1" customHeight="1" x14ac:dyDescent="0.15"/>
    <row r="307" spans="1:6" ht="18" customHeight="1" x14ac:dyDescent="0.25">
      <c r="A307" s="26" t="s">
        <v>62</v>
      </c>
      <c r="B307" s="26"/>
      <c r="C307" s="26"/>
      <c r="D307" s="26"/>
      <c r="E307" s="26"/>
      <c r="F307" s="26"/>
    </row>
    <row r="308" spans="1:6" x14ac:dyDescent="0.25">
      <c r="A308" s="7" t="s">
        <v>63</v>
      </c>
    </row>
    <row r="309" spans="1:6" x14ac:dyDescent="0.25">
      <c r="A309" s="8" t="s">
        <v>118</v>
      </c>
      <c r="B309" s="8" t="s">
        <v>119</v>
      </c>
      <c r="C309" s="8" t="s">
        <v>120</v>
      </c>
      <c r="D309" s="8" t="s">
        <v>121</v>
      </c>
      <c r="E309" s="8" t="s">
        <v>122</v>
      </c>
      <c r="F309" s="8" t="s">
        <v>123</v>
      </c>
    </row>
    <row r="310" spans="1:6" ht="18" customHeight="1" x14ac:dyDescent="0.25">
      <c r="A310" s="9">
        <v>45866</v>
      </c>
      <c r="B310" s="10">
        <v>11</v>
      </c>
      <c r="C310" s="11" t="s">
        <v>202</v>
      </c>
      <c r="D310" s="11" t="s">
        <v>286</v>
      </c>
      <c r="E310" s="11" t="s">
        <v>126</v>
      </c>
      <c r="F310" s="12" t="s">
        <v>134</v>
      </c>
    </row>
    <row r="311" spans="1:6" ht="27.95" customHeight="1" x14ac:dyDescent="0.25">
      <c r="A311" s="13">
        <v>46246</v>
      </c>
      <c r="B311" s="14">
        <v>37</v>
      </c>
      <c r="C311" s="15" t="s">
        <v>202</v>
      </c>
      <c r="D311" s="15" t="s">
        <v>286</v>
      </c>
      <c r="E311" s="15" t="s">
        <v>284</v>
      </c>
      <c r="F311" s="16" t="s">
        <v>144</v>
      </c>
    </row>
    <row r="312" spans="1:6" s="17" customFormat="1" ht="8.1" customHeight="1" x14ac:dyDescent="0.15"/>
    <row r="313" spans="1:6" ht="18" customHeight="1" x14ac:dyDescent="0.25">
      <c r="A313" s="26" t="s">
        <v>64</v>
      </c>
      <c r="B313" s="26"/>
      <c r="C313" s="26"/>
      <c r="D313" s="26"/>
      <c r="E313" s="26"/>
      <c r="F313" s="26"/>
    </row>
    <row r="314" spans="1:6" x14ac:dyDescent="0.25">
      <c r="A314" s="7" t="s">
        <v>65</v>
      </c>
    </row>
    <row r="315" spans="1:6" x14ac:dyDescent="0.25">
      <c r="A315" s="8" t="s">
        <v>118</v>
      </c>
      <c r="B315" s="8" t="s">
        <v>119</v>
      </c>
      <c r="C315" s="8" t="s">
        <v>120</v>
      </c>
      <c r="D315" s="8" t="s">
        <v>121</v>
      </c>
      <c r="E315" s="8" t="s">
        <v>122</v>
      </c>
      <c r="F315" s="8" t="s">
        <v>123</v>
      </c>
    </row>
    <row r="316" spans="1:6" ht="18" customHeight="1" x14ac:dyDescent="0.25">
      <c r="A316" s="9">
        <v>46056</v>
      </c>
      <c r="B316" s="10">
        <v>332</v>
      </c>
      <c r="C316" s="11" t="s">
        <v>282</v>
      </c>
      <c r="D316" s="11" t="s">
        <v>287</v>
      </c>
      <c r="E316" s="11"/>
      <c r="F316" s="12" t="s">
        <v>136</v>
      </c>
    </row>
    <row r="317" spans="1:6" ht="27.95" customHeight="1" x14ac:dyDescent="0.25">
      <c r="A317" s="13">
        <v>46246</v>
      </c>
      <c r="B317" s="14">
        <v>333</v>
      </c>
      <c r="C317" s="15" t="s">
        <v>282</v>
      </c>
      <c r="D317" s="15" t="s">
        <v>287</v>
      </c>
      <c r="E317" s="15"/>
      <c r="F317" s="16" t="s">
        <v>144</v>
      </c>
    </row>
    <row r="318" spans="1:6" s="17" customFormat="1" ht="8.1" customHeight="1" x14ac:dyDescent="0.15"/>
    <row r="319" spans="1:6" ht="18" customHeight="1" x14ac:dyDescent="0.25">
      <c r="A319" s="26" t="s">
        <v>66</v>
      </c>
      <c r="B319" s="26"/>
      <c r="C319" s="26"/>
      <c r="D319" s="26"/>
      <c r="E319" s="26"/>
      <c r="F319" s="26"/>
    </row>
    <row r="320" spans="1:6" x14ac:dyDescent="0.25">
      <c r="A320" s="7" t="s">
        <v>67</v>
      </c>
    </row>
    <row r="321" spans="1:6" x14ac:dyDescent="0.25">
      <c r="A321" s="8" t="s">
        <v>118</v>
      </c>
      <c r="B321" s="8" t="s">
        <v>119</v>
      </c>
      <c r="C321" s="8" t="s">
        <v>120</v>
      </c>
      <c r="D321" s="8" t="s">
        <v>121</v>
      </c>
      <c r="E321" s="8" t="s">
        <v>122</v>
      </c>
      <c r="F321" s="8" t="s">
        <v>123</v>
      </c>
    </row>
    <row r="322" spans="1:6" ht="18" customHeight="1" x14ac:dyDescent="0.25">
      <c r="A322" s="9">
        <v>44537</v>
      </c>
      <c r="B322" s="10">
        <v>29.9</v>
      </c>
      <c r="C322" s="11" t="s">
        <v>124</v>
      </c>
      <c r="D322" s="11" t="s">
        <v>288</v>
      </c>
      <c r="E322" s="11" t="s">
        <v>289</v>
      </c>
      <c r="F322" s="12" t="s">
        <v>130</v>
      </c>
    </row>
    <row r="323" spans="1:6" ht="27.95" customHeight="1" x14ac:dyDescent="0.25">
      <c r="A323" s="13">
        <v>45580</v>
      </c>
      <c r="B323" s="14">
        <v>28.9</v>
      </c>
      <c r="C323" s="15" t="s">
        <v>124</v>
      </c>
      <c r="D323" s="15" t="s">
        <v>288</v>
      </c>
      <c r="E323" s="15" t="s">
        <v>289</v>
      </c>
      <c r="F323" s="16" t="s">
        <v>132</v>
      </c>
    </row>
    <row r="324" spans="1:6" ht="27.95" customHeight="1" x14ac:dyDescent="0.25">
      <c r="A324" s="9">
        <v>46246</v>
      </c>
      <c r="B324" s="10">
        <v>28.2</v>
      </c>
      <c r="C324" s="11" t="s">
        <v>124</v>
      </c>
      <c r="D324" s="11" t="s">
        <v>288</v>
      </c>
      <c r="E324" s="11" t="s">
        <v>290</v>
      </c>
      <c r="F324" s="12" t="s">
        <v>144</v>
      </c>
    </row>
    <row r="325" spans="1:6" s="17" customFormat="1" ht="8.1" customHeight="1" x14ac:dyDescent="0.15"/>
    <row r="326" spans="1:6" ht="18" customHeight="1" x14ac:dyDescent="0.25">
      <c r="A326" s="26" t="s">
        <v>68</v>
      </c>
      <c r="B326" s="26"/>
      <c r="C326" s="26"/>
      <c r="D326" s="26"/>
      <c r="E326" s="26"/>
      <c r="F326" s="26"/>
    </row>
    <row r="327" spans="1:6" x14ac:dyDescent="0.25">
      <c r="A327" s="7" t="s">
        <v>69</v>
      </c>
    </row>
    <row r="328" spans="1:6" x14ac:dyDescent="0.25">
      <c r="A328" s="8" t="s">
        <v>118</v>
      </c>
      <c r="B328" s="8" t="s">
        <v>119</v>
      </c>
      <c r="C328" s="8" t="s">
        <v>120</v>
      </c>
      <c r="D328" s="8" t="s">
        <v>121</v>
      </c>
      <c r="E328" s="8" t="s">
        <v>122</v>
      </c>
      <c r="F328" s="8" t="s">
        <v>123</v>
      </c>
    </row>
    <row r="329" spans="1:6" ht="18" customHeight="1" x14ac:dyDescent="0.25">
      <c r="A329" s="9">
        <v>45805</v>
      </c>
      <c r="B329" s="10">
        <v>672</v>
      </c>
      <c r="C329" s="11" t="s">
        <v>291</v>
      </c>
      <c r="D329" s="11" t="s">
        <v>292</v>
      </c>
      <c r="E329" s="11" t="s">
        <v>179</v>
      </c>
      <c r="F329" s="12" t="s">
        <v>193</v>
      </c>
    </row>
    <row r="330" spans="1:6" s="17" customFormat="1" ht="8.1" customHeight="1" x14ac:dyDescent="0.15"/>
    <row r="331" spans="1:6" ht="20.100000000000001" customHeight="1" x14ac:dyDescent="0.25">
      <c r="A331" s="25" t="s">
        <v>70</v>
      </c>
      <c r="B331" s="25"/>
      <c r="C331" s="25"/>
      <c r="D331" s="25"/>
      <c r="E331" s="25"/>
      <c r="F331" s="25"/>
    </row>
    <row r="332" spans="1:6" ht="18" customHeight="1" x14ac:dyDescent="0.25">
      <c r="A332" s="26" t="s">
        <v>71</v>
      </c>
      <c r="B332" s="26"/>
      <c r="C332" s="26"/>
      <c r="D332" s="26"/>
      <c r="E332" s="26"/>
      <c r="F332" s="26"/>
    </row>
    <row r="333" spans="1:6" x14ac:dyDescent="0.25">
      <c r="A333" s="7" t="s">
        <v>72</v>
      </c>
    </row>
    <row r="334" spans="1:6" x14ac:dyDescent="0.25">
      <c r="A334" s="8" t="s">
        <v>118</v>
      </c>
      <c r="B334" s="8" t="s">
        <v>119</v>
      </c>
      <c r="C334" s="8" t="s">
        <v>120</v>
      </c>
      <c r="D334" s="8" t="s">
        <v>121</v>
      </c>
      <c r="E334" s="8" t="s">
        <v>122</v>
      </c>
      <c r="F334" s="8" t="s">
        <v>123</v>
      </c>
    </row>
    <row r="335" spans="1:6" ht="18" customHeight="1" x14ac:dyDescent="0.25">
      <c r="A335" s="9">
        <v>44306</v>
      </c>
      <c r="B335" s="10">
        <v>94</v>
      </c>
      <c r="C335" s="11" t="s">
        <v>293</v>
      </c>
      <c r="D335" s="11" t="s">
        <v>294</v>
      </c>
      <c r="E335" s="11"/>
      <c r="F335" s="12" t="s">
        <v>127</v>
      </c>
    </row>
    <row r="336" spans="1:6" ht="18" customHeight="1" x14ac:dyDescent="0.25">
      <c r="A336" s="13">
        <v>44537</v>
      </c>
      <c r="B336" s="14">
        <v>60</v>
      </c>
      <c r="C336" s="15" t="s">
        <v>293</v>
      </c>
      <c r="D336" s="15" t="s">
        <v>294</v>
      </c>
      <c r="E336" s="15" t="s">
        <v>129</v>
      </c>
      <c r="F336" s="16" t="s">
        <v>130</v>
      </c>
    </row>
    <row r="337" spans="1:6" ht="18" customHeight="1" x14ac:dyDescent="0.25">
      <c r="A337" s="9">
        <v>44623</v>
      </c>
      <c r="B337" s="10">
        <v>97</v>
      </c>
      <c r="C337" s="11" t="s">
        <v>293</v>
      </c>
      <c r="D337" s="11" t="s">
        <v>295</v>
      </c>
      <c r="E337" s="11" t="s">
        <v>296</v>
      </c>
      <c r="F337" s="12" t="s">
        <v>191</v>
      </c>
    </row>
    <row r="338" spans="1:6" ht="27.95" customHeight="1" x14ac:dyDescent="0.25">
      <c r="A338" s="13">
        <v>45580</v>
      </c>
      <c r="B338" s="14">
        <v>87</v>
      </c>
      <c r="C338" s="15" t="s">
        <v>293</v>
      </c>
      <c r="D338" s="15" t="s">
        <v>294</v>
      </c>
      <c r="E338" s="15"/>
      <c r="F338" s="16" t="s">
        <v>132</v>
      </c>
    </row>
    <row r="339" spans="1:6" ht="18" customHeight="1" x14ac:dyDescent="0.25">
      <c r="A339" s="9">
        <v>45866</v>
      </c>
      <c r="B339" s="10">
        <v>77</v>
      </c>
      <c r="C339" s="11" t="s">
        <v>293</v>
      </c>
      <c r="D339" s="11" t="s">
        <v>294</v>
      </c>
      <c r="E339" s="11"/>
      <c r="F339" s="12" t="s">
        <v>134</v>
      </c>
    </row>
    <row r="340" spans="1:6" ht="18" customHeight="1" x14ac:dyDescent="0.25">
      <c r="A340" s="13">
        <v>46056</v>
      </c>
      <c r="B340" s="14">
        <v>82</v>
      </c>
      <c r="C340" s="15" t="s">
        <v>293</v>
      </c>
      <c r="D340" s="15" t="s">
        <v>294</v>
      </c>
      <c r="E340" s="15"/>
      <c r="F340" s="16" t="s">
        <v>136</v>
      </c>
    </row>
    <row r="341" spans="1:6" ht="27.95" customHeight="1" x14ac:dyDescent="0.25">
      <c r="A341" s="9">
        <v>46246</v>
      </c>
      <c r="B341" s="10">
        <v>80</v>
      </c>
      <c r="C341" s="11" t="s">
        <v>293</v>
      </c>
      <c r="D341" s="11" t="s">
        <v>294</v>
      </c>
      <c r="E341" s="11"/>
      <c r="F341" s="12" t="s">
        <v>144</v>
      </c>
    </row>
    <row r="342" spans="1:6" s="17" customFormat="1" ht="8.1" customHeight="1" x14ac:dyDescent="0.15"/>
    <row r="343" spans="1:6" ht="18" customHeight="1" x14ac:dyDescent="0.25">
      <c r="A343" s="26" t="s">
        <v>73</v>
      </c>
      <c r="B343" s="26"/>
      <c r="C343" s="26"/>
      <c r="D343" s="26"/>
      <c r="E343" s="26"/>
      <c r="F343" s="26"/>
    </row>
    <row r="344" spans="1:6" x14ac:dyDescent="0.25">
      <c r="A344" s="7" t="s">
        <v>74</v>
      </c>
    </row>
    <row r="345" spans="1:6" x14ac:dyDescent="0.25">
      <c r="A345" s="8" t="s">
        <v>118</v>
      </c>
      <c r="B345" s="8" t="s">
        <v>297</v>
      </c>
      <c r="C345" s="8" t="s">
        <v>298</v>
      </c>
      <c r="D345" s="8" t="s">
        <v>216</v>
      </c>
      <c r="E345" s="8" t="s">
        <v>122</v>
      </c>
      <c r="F345" s="8" t="s">
        <v>123</v>
      </c>
    </row>
    <row r="346" spans="1:6" ht="27.95" customHeight="1" x14ac:dyDescent="0.25">
      <c r="A346" s="9">
        <v>44121</v>
      </c>
      <c r="B346" s="10">
        <v>135</v>
      </c>
      <c r="C346" s="10">
        <v>5.0999999999999996</v>
      </c>
      <c r="D346" s="11" t="s">
        <v>299</v>
      </c>
      <c r="E346" s="11" t="s">
        <v>300</v>
      </c>
      <c r="F346" s="12" t="s">
        <v>185</v>
      </c>
    </row>
    <row r="347" spans="1:6" ht="18" customHeight="1" x14ac:dyDescent="0.25">
      <c r="A347" s="13">
        <v>44306</v>
      </c>
      <c r="B347" s="14">
        <v>136</v>
      </c>
      <c r="C347" s="14">
        <v>4.9000000000000004</v>
      </c>
      <c r="D347" s="15" t="s">
        <v>299</v>
      </c>
      <c r="E347" s="15"/>
      <c r="F347" s="16" t="s">
        <v>127</v>
      </c>
    </row>
    <row r="348" spans="1:6" ht="18" customHeight="1" x14ac:dyDescent="0.25">
      <c r="A348" s="9">
        <v>44537</v>
      </c>
      <c r="B348" s="10">
        <v>138</v>
      </c>
      <c r="C348" s="10">
        <v>5.0999999999999996</v>
      </c>
      <c r="D348" s="11" t="s">
        <v>299</v>
      </c>
      <c r="E348" s="11" t="s">
        <v>301</v>
      </c>
      <c r="F348" s="12" t="s">
        <v>130</v>
      </c>
    </row>
    <row r="349" spans="1:6" ht="18" customHeight="1" x14ac:dyDescent="0.25">
      <c r="A349" s="13">
        <v>44623</v>
      </c>
      <c r="B349" s="14">
        <v>134</v>
      </c>
      <c r="C349" s="14">
        <v>3.8</v>
      </c>
      <c r="D349" s="15" t="s">
        <v>299</v>
      </c>
      <c r="E349" s="15" t="s">
        <v>302</v>
      </c>
      <c r="F349" s="16" t="s">
        <v>191</v>
      </c>
    </row>
    <row r="350" spans="1:6" s="17" customFormat="1" ht="8.1" customHeight="1" x14ac:dyDescent="0.15"/>
    <row r="351" spans="1:6" ht="18" customHeight="1" x14ac:dyDescent="0.25">
      <c r="A351" s="26" t="s">
        <v>75</v>
      </c>
      <c r="B351" s="26"/>
      <c r="C351" s="26"/>
      <c r="D351" s="26"/>
      <c r="E351" s="26"/>
      <c r="F351" s="26"/>
    </row>
    <row r="352" spans="1:6" x14ac:dyDescent="0.25">
      <c r="A352" s="7" t="s">
        <v>76</v>
      </c>
    </row>
    <row r="353" spans="1:6" x14ac:dyDescent="0.25">
      <c r="A353" s="8" t="s">
        <v>118</v>
      </c>
      <c r="B353" s="8" t="s">
        <v>119</v>
      </c>
      <c r="C353" s="8" t="s">
        <v>120</v>
      </c>
      <c r="D353" s="8" t="s">
        <v>121</v>
      </c>
      <c r="E353" s="8" t="s">
        <v>122</v>
      </c>
      <c r="F353" s="8" t="s">
        <v>123</v>
      </c>
    </row>
    <row r="354" spans="1:6" ht="18" customHeight="1" x14ac:dyDescent="0.25">
      <c r="A354" s="9">
        <v>44623</v>
      </c>
      <c r="B354" s="10">
        <v>1.325</v>
      </c>
      <c r="C354" s="11" t="s">
        <v>303</v>
      </c>
      <c r="D354" s="11" t="s">
        <v>304</v>
      </c>
      <c r="E354" s="11" t="s">
        <v>305</v>
      </c>
      <c r="F354" s="12" t="s">
        <v>191</v>
      </c>
    </row>
    <row r="355" spans="1:6" ht="27.95" customHeight="1" x14ac:dyDescent="0.25">
      <c r="A355" s="13">
        <v>45580</v>
      </c>
      <c r="B355" s="14">
        <v>1.23</v>
      </c>
      <c r="C355" s="15" t="s">
        <v>303</v>
      </c>
      <c r="D355" s="15" t="s">
        <v>306</v>
      </c>
      <c r="E355" s="15"/>
      <c r="F355" s="16" t="s">
        <v>132</v>
      </c>
    </row>
    <row r="356" spans="1:6" s="17" customFormat="1" ht="8.1" customHeight="1" x14ac:dyDescent="0.15"/>
    <row r="357" spans="1:6" ht="18" customHeight="1" x14ac:dyDescent="0.25">
      <c r="A357" s="26" t="s">
        <v>77</v>
      </c>
      <c r="B357" s="26"/>
      <c r="C357" s="26"/>
      <c r="D357" s="26"/>
      <c r="E357" s="26"/>
      <c r="F357" s="26"/>
    </row>
    <row r="358" spans="1:6" x14ac:dyDescent="0.25">
      <c r="A358" s="7" t="s">
        <v>78</v>
      </c>
    </row>
    <row r="359" spans="1:6" x14ac:dyDescent="0.25">
      <c r="A359" s="8" t="s">
        <v>118</v>
      </c>
      <c r="B359" s="8" t="s">
        <v>307</v>
      </c>
      <c r="C359" s="8" t="s">
        <v>308</v>
      </c>
      <c r="D359" s="8" t="s">
        <v>309</v>
      </c>
      <c r="E359" s="8" t="s">
        <v>122</v>
      </c>
      <c r="F359" s="8" t="s">
        <v>123</v>
      </c>
    </row>
    <row r="360" spans="1:6" ht="18" customHeight="1" x14ac:dyDescent="0.25">
      <c r="A360" s="9">
        <v>44623</v>
      </c>
      <c r="B360" s="10">
        <v>7.4930000000000003</v>
      </c>
      <c r="C360" s="11" t="s">
        <v>310</v>
      </c>
      <c r="D360" s="11" t="s">
        <v>311</v>
      </c>
      <c r="E360" s="11" t="s">
        <v>312</v>
      </c>
      <c r="F360" s="12" t="s">
        <v>191</v>
      </c>
    </row>
    <row r="361" spans="1:6" s="17" customFormat="1" ht="8.1" customHeight="1" x14ac:dyDescent="0.15"/>
    <row r="362" spans="1:6" ht="18" customHeight="1" x14ac:dyDescent="0.25">
      <c r="A362" s="26" t="s">
        <v>79</v>
      </c>
      <c r="B362" s="26"/>
      <c r="C362" s="26"/>
      <c r="D362" s="26"/>
      <c r="E362" s="26"/>
      <c r="F362" s="26"/>
    </row>
    <row r="363" spans="1:6" x14ac:dyDescent="0.25">
      <c r="A363" s="7" t="s">
        <v>80</v>
      </c>
    </row>
    <row r="364" spans="1:6" x14ac:dyDescent="0.25">
      <c r="A364" s="8" t="s">
        <v>118</v>
      </c>
      <c r="B364" s="8" t="s">
        <v>119</v>
      </c>
      <c r="C364" s="8" t="s">
        <v>120</v>
      </c>
      <c r="D364" s="8" t="s">
        <v>121</v>
      </c>
      <c r="E364" s="8" t="s">
        <v>122</v>
      </c>
      <c r="F364" s="8" t="s">
        <v>123</v>
      </c>
    </row>
    <row r="365" spans="1:6" ht="18" customHeight="1" x14ac:dyDescent="0.25">
      <c r="A365" s="9">
        <v>44306</v>
      </c>
      <c r="B365" s="10">
        <v>22.8</v>
      </c>
      <c r="C365" s="11" t="s">
        <v>282</v>
      </c>
      <c r="D365" s="11" t="s">
        <v>313</v>
      </c>
      <c r="E365" s="11" t="s">
        <v>285</v>
      </c>
      <c r="F365" s="12" t="s">
        <v>127</v>
      </c>
    </row>
    <row r="366" spans="1:6" ht="18" customHeight="1" x14ac:dyDescent="0.25">
      <c r="A366" s="13">
        <v>44537</v>
      </c>
      <c r="B366" s="14">
        <v>26.3</v>
      </c>
      <c r="C366" s="15" t="s">
        <v>282</v>
      </c>
      <c r="D366" s="15" t="s">
        <v>313</v>
      </c>
      <c r="E366" s="15" t="s">
        <v>314</v>
      </c>
      <c r="F366" s="16" t="s">
        <v>130</v>
      </c>
    </row>
    <row r="367" spans="1:6" ht="27.95" customHeight="1" x14ac:dyDescent="0.25">
      <c r="A367" s="9">
        <v>45580</v>
      </c>
      <c r="B367" s="10">
        <v>9.5</v>
      </c>
      <c r="C367" s="11" t="s">
        <v>282</v>
      </c>
      <c r="D367" s="11" t="s">
        <v>313</v>
      </c>
      <c r="E367" s="11" t="s">
        <v>179</v>
      </c>
      <c r="F367" s="12" t="s">
        <v>132</v>
      </c>
    </row>
    <row r="368" spans="1:6" s="17" customFormat="1" ht="8.1" customHeight="1" x14ac:dyDescent="0.15"/>
    <row r="369" spans="1:6" ht="18" customHeight="1" x14ac:dyDescent="0.25">
      <c r="A369" s="26" t="s">
        <v>81</v>
      </c>
      <c r="B369" s="26"/>
      <c r="C369" s="26"/>
      <c r="D369" s="26"/>
      <c r="E369" s="26"/>
      <c r="F369" s="26"/>
    </row>
    <row r="370" spans="1:6" x14ac:dyDescent="0.25">
      <c r="A370" s="7" t="s">
        <v>82</v>
      </c>
    </row>
    <row r="371" spans="1:6" x14ac:dyDescent="0.25">
      <c r="A371" s="8" t="s">
        <v>118</v>
      </c>
      <c r="B371" s="8" t="s">
        <v>119</v>
      </c>
      <c r="C371" s="8" t="s">
        <v>120</v>
      </c>
      <c r="D371" s="8" t="s">
        <v>121</v>
      </c>
      <c r="E371" s="8" t="s">
        <v>122</v>
      </c>
      <c r="F371" s="8" t="s">
        <v>123</v>
      </c>
    </row>
    <row r="372" spans="1:6" ht="18" customHeight="1" x14ac:dyDescent="0.25">
      <c r="A372" s="9">
        <v>44306</v>
      </c>
      <c r="B372" s="10">
        <v>0.16</v>
      </c>
      <c r="C372" s="11" t="s">
        <v>293</v>
      </c>
      <c r="D372" s="11" t="s">
        <v>315</v>
      </c>
      <c r="E372" s="11" t="s">
        <v>316</v>
      </c>
      <c r="F372" s="12" t="s">
        <v>127</v>
      </c>
    </row>
    <row r="373" spans="1:6" ht="18" customHeight="1" x14ac:dyDescent="0.25">
      <c r="A373" s="13">
        <v>44537</v>
      </c>
      <c r="B373" s="14">
        <v>0.18</v>
      </c>
      <c r="C373" s="15" t="s">
        <v>293</v>
      </c>
      <c r="D373" s="15" t="s">
        <v>317</v>
      </c>
      <c r="E373" s="15" t="s">
        <v>253</v>
      </c>
      <c r="F373" s="16" t="s">
        <v>130</v>
      </c>
    </row>
    <row r="374" spans="1:6" ht="27.95" customHeight="1" x14ac:dyDescent="0.25">
      <c r="A374" s="9">
        <v>45580</v>
      </c>
      <c r="B374" s="10">
        <v>0.22</v>
      </c>
      <c r="C374" s="11" t="s">
        <v>293</v>
      </c>
      <c r="D374" s="11" t="s">
        <v>317</v>
      </c>
      <c r="E374" s="11"/>
      <c r="F374" s="12" t="s">
        <v>132</v>
      </c>
    </row>
    <row r="375" spans="1:6" ht="27.95" customHeight="1" x14ac:dyDescent="0.25">
      <c r="A375" s="13">
        <v>46246</v>
      </c>
      <c r="B375" s="14">
        <v>0.28000000000000003</v>
      </c>
      <c r="C375" s="15" t="s">
        <v>293</v>
      </c>
      <c r="D375" s="15" t="s">
        <v>318</v>
      </c>
      <c r="E375" s="15" t="s">
        <v>126</v>
      </c>
      <c r="F375" s="16" t="s">
        <v>144</v>
      </c>
    </row>
    <row r="376" spans="1:6" s="17" customFormat="1" ht="8.1" customHeight="1" x14ac:dyDescent="0.15"/>
    <row r="377" spans="1:6" ht="18" customHeight="1" x14ac:dyDescent="0.25">
      <c r="A377" s="26" t="s">
        <v>83</v>
      </c>
      <c r="B377" s="26"/>
      <c r="C377" s="26"/>
      <c r="D377" s="26"/>
      <c r="E377" s="26"/>
      <c r="F377" s="26"/>
    </row>
    <row r="378" spans="1:6" x14ac:dyDescent="0.25">
      <c r="A378" s="7" t="s">
        <v>82</v>
      </c>
    </row>
    <row r="379" spans="1:6" x14ac:dyDescent="0.25">
      <c r="A379" s="8" t="s">
        <v>118</v>
      </c>
      <c r="B379" s="8" t="s">
        <v>119</v>
      </c>
      <c r="C379" s="8" t="s">
        <v>120</v>
      </c>
      <c r="D379" s="8" t="s">
        <v>121</v>
      </c>
      <c r="E379" s="8" t="s">
        <v>122</v>
      </c>
      <c r="F379" s="8" t="s">
        <v>123</v>
      </c>
    </row>
    <row r="380" spans="1:6" ht="18" customHeight="1" x14ac:dyDescent="0.25">
      <c r="A380" s="9">
        <v>44306</v>
      </c>
      <c r="B380" s="10">
        <v>14</v>
      </c>
      <c r="C380" s="11" t="s">
        <v>293</v>
      </c>
      <c r="D380" s="11" t="s">
        <v>319</v>
      </c>
      <c r="E380" s="11"/>
      <c r="F380" s="12" t="s">
        <v>127</v>
      </c>
    </row>
    <row r="381" spans="1:6" ht="27.95" customHeight="1" x14ac:dyDescent="0.25">
      <c r="A381" s="13">
        <v>46246</v>
      </c>
      <c r="B381" s="14">
        <v>27.8</v>
      </c>
      <c r="C381" s="15" t="s">
        <v>293</v>
      </c>
      <c r="D381" s="15" t="s">
        <v>319</v>
      </c>
      <c r="E381" s="15"/>
      <c r="F381" s="16" t="s">
        <v>144</v>
      </c>
    </row>
    <row r="382" spans="1:6" s="17" customFormat="1" ht="8.1" customHeight="1" x14ac:dyDescent="0.15"/>
    <row r="383" spans="1:6" ht="18" customHeight="1" x14ac:dyDescent="0.25">
      <c r="A383" s="26" t="s">
        <v>84</v>
      </c>
      <c r="B383" s="26"/>
      <c r="C383" s="26"/>
      <c r="D383" s="26"/>
      <c r="E383" s="26"/>
      <c r="F383" s="26"/>
    </row>
    <row r="384" spans="1:6" x14ac:dyDescent="0.25">
      <c r="A384" s="7" t="s">
        <v>85</v>
      </c>
    </row>
    <row r="385" spans="1:6" x14ac:dyDescent="0.25">
      <c r="A385" s="8" t="s">
        <v>118</v>
      </c>
      <c r="B385" s="8" t="s">
        <v>119</v>
      </c>
      <c r="C385" s="8" t="s">
        <v>120</v>
      </c>
      <c r="D385" s="8" t="s">
        <v>121</v>
      </c>
      <c r="E385" s="8" t="s">
        <v>122</v>
      </c>
      <c r="F385" s="8" t="s">
        <v>123</v>
      </c>
    </row>
    <row r="386" spans="1:6" ht="18" customHeight="1" x14ac:dyDescent="0.25">
      <c r="A386" s="9">
        <v>44537</v>
      </c>
      <c r="B386" s="10">
        <v>5.0999999999999996</v>
      </c>
      <c r="C386" s="11" t="s">
        <v>293</v>
      </c>
      <c r="D386" s="11" t="s">
        <v>320</v>
      </c>
      <c r="E386" s="11"/>
      <c r="F386" s="12" t="s">
        <v>130</v>
      </c>
    </row>
    <row r="387" spans="1:6" ht="27.95" customHeight="1" x14ac:dyDescent="0.25">
      <c r="A387" s="13">
        <v>45580</v>
      </c>
      <c r="B387" s="14">
        <v>5.2</v>
      </c>
      <c r="C387" s="15" t="s">
        <v>293</v>
      </c>
      <c r="D387" s="15" t="s">
        <v>320</v>
      </c>
      <c r="E387" s="15"/>
      <c r="F387" s="16" t="s">
        <v>132</v>
      </c>
    </row>
    <row r="388" spans="1:6" s="17" customFormat="1" ht="8.1" customHeight="1" x14ac:dyDescent="0.15"/>
    <row r="389" spans="1:6" ht="18" customHeight="1" x14ac:dyDescent="0.25">
      <c r="A389" s="26" t="s">
        <v>86</v>
      </c>
      <c r="B389" s="26"/>
      <c r="C389" s="26"/>
      <c r="D389" s="26"/>
      <c r="E389" s="26"/>
      <c r="F389" s="26"/>
    </row>
    <row r="390" spans="1:6" x14ac:dyDescent="0.25">
      <c r="A390" s="7" t="s">
        <v>87</v>
      </c>
    </row>
    <row r="391" spans="1:6" x14ac:dyDescent="0.25">
      <c r="A391" s="8" t="s">
        <v>118</v>
      </c>
      <c r="B391" s="8" t="s">
        <v>119</v>
      </c>
      <c r="C391" s="8" t="s">
        <v>120</v>
      </c>
      <c r="D391" s="8" t="s">
        <v>121</v>
      </c>
      <c r="E391" s="8" t="s">
        <v>122</v>
      </c>
      <c r="F391" s="8" t="s">
        <v>123</v>
      </c>
    </row>
    <row r="392" spans="1:6" ht="27.95" customHeight="1" x14ac:dyDescent="0.25">
      <c r="A392" s="9">
        <v>45580</v>
      </c>
      <c r="B392" s="10">
        <v>104.7</v>
      </c>
      <c r="C392" s="11" t="s">
        <v>321</v>
      </c>
      <c r="D392" s="11" t="s">
        <v>322</v>
      </c>
      <c r="E392" s="11"/>
      <c r="F392" s="12" t="s">
        <v>132</v>
      </c>
    </row>
    <row r="393" spans="1:6" ht="18" customHeight="1" x14ac:dyDescent="0.25">
      <c r="A393" s="13">
        <v>46056</v>
      </c>
      <c r="B393" s="14">
        <v>120.3</v>
      </c>
      <c r="C393" s="15" t="s">
        <v>321</v>
      </c>
      <c r="D393" s="15" t="s">
        <v>323</v>
      </c>
      <c r="E393" s="15"/>
      <c r="F393" s="16" t="s">
        <v>136</v>
      </c>
    </row>
    <row r="394" spans="1:6" s="17" customFormat="1" ht="8.1" customHeight="1" x14ac:dyDescent="0.15"/>
    <row r="395" spans="1:6" ht="18" customHeight="1" x14ac:dyDescent="0.25">
      <c r="A395" s="26" t="s">
        <v>88</v>
      </c>
      <c r="B395" s="26"/>
      <c r="C395" s="26"/>
      <c r="D395" s="26"/>
      <c r="E395" s="26"/>
      <c r="F395" s="26"/>
    </row>
    <row r="396" spans="1:6" x14ac:dyDescent="0.25">
      <c r="A396" s="7" t="s">
        <v>89</v>
      </c>
    </row>
    <row r="397" spans="1:6" x14ac:dyDescent="0.25">
      <c r="A397" s="8" t="s">
        <v>118</v>
      </c>
      <c r="B397" s="8" t="s">
        <v>119</v>
      </c>
      <c r="C397" s="8" t="s">
        <v>120</v>
      </c>
      <c r="D397" s="8" t="s">
        <v>121</v>
      </c>
      <c r="E397" s="8" t="s">
        <v>122</v>
      </c>
      <c r="F397" s="8" t="s">
        <v>123</v>
      </c>
    </row>
    <row r="398" spans="1:6" ht="18" customHeight="1" x14ac:dyDescent="0.25">
      <c r="A398" s="9">
        <v>44548</v>
      </c>
      <c r="B398" s="10">
        <v>514</v>
      </c>
      <c r="C398" s="11" t="s">
        <v>324</v>
      </c>
      <c r="D398" s="11" t="s">
        <v>325</v>
      </c>
      <c r="E398" s="11" t="s">
        <v>197</v>
      </c>
      <c r="F398" s="12" t="s">
        <v>130</v>
      </c>
    </row>
    <row r="399" spans="1:6" ht="27.95" customHeight="1" x14ac:dyDescent="0.25">
      <c r="A399" s="13">
        <v>45580</v>
      </c>
      <c r="B399" s="14">
        <v>228</v>
      </c>
      <c r="C399" s="15" t="s">
        <v>324</v>
      </c>
      <c r="D399" s="15" t="s">
        <v>326</v>
      </c>
      <c r="E399" s="15"/>
      <c r="F399" s="16" t="s">
        <v>132</v>
      </c>
    </row>
    <row r="400" spans="1:6" s="17" customFormat="1" ht="8.1" customHeight="1" x14ac:dyDescent="0.15"/>
    <row r="401" spans="1:6" ht="18" customHeight="1" x14ac:dyDescent="0.25">
      <c r="A401" s="26" t="s">
        <v>90</v>
      </c>
      <c r="B401" s="26"/>
      <c r="C401" s="26"/>
      <c r="D401" s="26"/>
      <c r="E401" s="26"/>
      <c r="F401" s="26"/>
    </row>
    <row r="402" spans="1:6" x14ac:dyDescent="0.25">
      <c r="A402" s="7" t="s">
        <v>91</v>
      </c>
    </row>
    <row r="403" spans="1:6" x14ac:dyDescent="0.25">
      <c r="A403" s="8" t="s">
        <v>118</v>
      </c>
      <c r="B403" s="8" t="s">
        <v>119</v>
      </c>
      <c r="C403" s="8" t="s">
        <v>120</v>
      </c>
      <c r="D403" s="8" t="s">
        <v>121</v>
      </c>
      <c r="E403" s="8" t="s">
        <v>122</v>
      </c>
      <c r="F403" s="8" t="s">
        <v>123</v>
      </c>
    </row>
    <row r="404" spans="1:6" ht="18" customHeight="1" x14ac:dyDescent="0.25">
      <c r="A404" s="9">
        <v>44548</v>
      </c>
      <c r="B404" s="10">
        <v>13.4</v>
      </c>
      <c r="C404" s="11" t="s">
        <v>324</v>
      </c>
      <c r="D404" s="11" t="s">
        <v>327</v>
      </c>
      <c r="E404" s="11"/>
      <c r="F404" s="12" t="s">
        <v>328</v>
      </c>
    </row>
    <row r="405" spans="1:6" ht="27.95" customHeight="1" x14ac:dyDescent="0.25">
      <c r="A405" s="13">
        <v>45580</v>
      </c>
      <c r="B405" s="14">
        <v>15</v>
      </c>
      <c r="C405" s="15" t="s">
        <v>324</v>
      </c>
      <c r="D405" s="15" t="s">
        <v>327</v>
      </c>
      <c r="E405" s="15"/>
      <c r="F405" s="16" t="s">
        <v>132</v>
      </c>
    </row>
    <row r="406" spans="1:6" s="17" customFormat="1" ht="8.1" customHeight="1" x14ac:dyDescent="0.15"/>
    <row r="407" spans="1:6" ht="18" customHeight="1" x14ac:dyDescent="0.25">
      <c r="A407" s="26" t="s">
        <v>92</v>
      </c>
      <c r="B407" s="26"/>
      <c r="C407" s="26"/>
      <c r="D407" s="26"/>
      <c r="E407" s="26"/>
      <c r="F407" s="26"/>
    </row>
    <row r="408" spans="1:6" x14ac:dyDescent="0.25">
      <c r="A408" s="7" t="s">
        <v>93</v>
      </c>
    </row>
    <row r="409" spans="1:6" x14ac:dyDescent="0.25">
      <c r="A409" s="8" t="s">
        <v>118</v>
      </c>
      <c r="B409" s="8" t="s">
        <v>329</v>
      </c>
      <c r="C409" s="8" t="s">
        <v>330</v>
      </c>
      <c r="D409" s="8" t="s">
        <v>216</v>
      </c>
      <c r="E409" s="8" t="s">
        <v>122</v>
      </c>
      <c r="F409" s="8" t="s">
        <v>123</v>
      </c>
    </row>
    <row r="410" spans="1:6" ht="18" customHeight="1" x14ac:dyDescent="0.25">
      <c r="A410" s="9">
        <v>44306</v>
      </c>
      <c r="B410" s="10">
        <v>40</v>
      </c>
      <c r="C410" s="10">
        <v>18</v>
      </c>
      <c r="D410" s="11" t="s">
        <v>331</v>
      </c>
      <c r="E410" s="11" t="s">
        <v>332</v>
      </c>
      <c r="F410" s="12" t="s">
        <v>127</v>
      </c>
    </row>
    <row r="411" spans="1:6" ht="18" customHeight="1" x14ac:dyDescent="0.25">
      <c r="A411" s="13">
        <v>44548</v>
      </c>
      <c r="B411" s="14">
        <v>32</v>
      </c>
      <c r="C411" s="14">
        <v>17</v>
      </c>
      <c r="D411" s="15" t="s">
        <v>331</v>
      </c>
      <c r="E411" s="15"/>
      <c r="F411" s="16" t="s">
        <v>328</v>
      </c>
    </row>
    <row r="412" spans="1:6" ht="27.95" customHeight="1" x14ac:dyDescent="0.25">
      <c r="A412" s="9">
        <v>45580</v>
      </c>
      <c r="B412" s="10">
        <v>22</v>
      </c>
      <c r="C412" s="10">
        <v>15</v>
      </c>
      <c r="D412" s="11" t="s">
        <v>331</v>
      </c>
      <c r="E412" s="11"/>
      <c r="F412" s="12" t="s">
        <v>132</v>
      </c>
    </row>
    <row r="413" spans="1:6" ht="18" customHeight="1" x14ac:dyDescent="0.25">
      <c r="A413" s="13">
        <v>45866</v>
      </c>
      <c r="B413" s="14">
        <v>29</v>
      </c>
      <c r="C413" s="14">
        <v>20</v>
      </c>
      <c r="D413" s="15" t="s">
        <v>331</v>
      </c>
      <c r="E413" s="15"/>
      <c r="F413" s="16" t="s">
        <v>134</v>
      </c>
    </row>
    <row r="414" spans="1:6" ht="27.95" customHeight="1" x14ac:dyDescent="0.25">
      <c r="A414" s="9">
        <v>46246</v>
      </c>
      <c r="B414" s="10">
        <v>20</v>
      </c>
      <c r="C414" s="10">
        <v>15</v>
      </c>
      <c r="D414" s="11" t="s">
        <v>333</v>
      </c>
      <c r="E414" s="11" t="s">
        <v>334</v>
      </c>
      <c r="F414" s="12" t="s">
        <v>144</v>
      </c>
    </row>
    <row r="415" spans="1:6" s="17" customFormat="1" ht="8.1" customHeight="1" x14ac:dyDescent="0.15"/>
    <row r="416" spans="1:6" ht="18" customHeight="1" x14ac:dyDescent="0.25">
      <c r="A416" s="26" t="s">
        <v>94</v>
      </c>
      <c r="B416" s="26"/>
      <c r="C416" s="26"/>
      <c r="D416" s="26"/>
      <c r="E416" s="26"/>
      <c r="F416" s="26"/>
    </row>
    <row r="417" spans="1:6" x14ac:dyDescent="0.25">
      <c r="A417" s="7" t="s">
        <v>95</v>
      </c>
    </row>
    <row r="418" spans="1:6" x14ac:dyDescent="0.25">
      <c r="A418" s="8" t="s">
        <v>118</v>
      </c>
      <c r="B418" s="8" t="s">
        <v>264</v>
      </c>
      <c r="C418" s="27" t="s">
        <v>119</v>
      </c>
      <c r="D418" s="27"/>
      <c r="E418" s="8" t="s">
        <v>122</v>
      </c>
      <c r="F418" s="8" t="s">
        <v>123</v>
      </c>
    </row>
    <row r="419" spans="1:6" ht="36" customHeight="1" x14ac:dyDescent="0.25">
      <c r="A419" s="9">
        <v>44121</v>
      </c>
      <c r="B419" s="11" t="s">
        <v>335</v>
      </c>
      <c r="C419" s="28" t="s">
        <v>336</v>
      </c>
      <c r="D419" s="28"/>
      <c r="E419" s="18"/>
      <c r="F419" s="12" t="s">
        <v>185</v>
      </c>
    </row>
    <row r="420" spans="1:6" ht="36" customHeight="1" x14ac:dyDescent="0.25">
      <c r="A420" s="13">
        <v>44306</v>
      </c>
      <c r="B420" s="15" t="s">
        <v>337</v>
      </c>
      <c r="C420" s="29" t="s">
        <v>338</v>
      </c>
      <c r="D420" s="29"/>
      <c r="E420" s="19"/>
      <c r="F420" s="16" t="s">
        <v>127</v>
      </c>
    </row>
    <row r="421" spans="1:6" ht="36" customHeight="1" x14ac:dyDescent="0.25">
      <c r="A421" s="9">
        <v>44306</v>
      </c>
      <c r="B421" s="11" t="s">
        <v>339</v>
      </c>
      <c r="C421" s="28" t="s">
        <v>340</v>
      </c>
      <c r="D421" s="28"/>
      <c r="E421" s="18"/>
      <c r="F421" s="12" t="s">
        <v>127</v>
      </c>
    </row>
    <row r="422" spans="1:6" ht="36" customHeight="1" x14ac:dyDescent="0.25">
      <c r="A422" s="13">
        <v>44306</v>
      </c>
      <c r="B422" s="15" t="s">
        <v>341</v>
      </c>
      <c r="C422" s="29" t="s">
        <v>342</v>
      </c>
      <c r="D422" s="29"/>
      <c r="E422" s="19"/>
      <c r="F422" s="16" t="s">
        <v>127</v>
      </c>
    </row>
    <row r="423" spans="1:6" ht="36" customHeight="1" x14ac:dyDescent="0.25">
      <c r="A423" s="9">
        <v>44306</v>
      </c>
      <c r="B423" s="11" t="s">
        <v>343</v>
      </c>
      <c r="C423" s="28" t="s">
        <v>344</v>
      </c>
      <c r="D423" s="28"/>
      <c r="E423" s="18" t="s">
        <v>345</v>
      </c>
      <c r="F423" s="12" t="s">
        <v>127</v>
      </c>
    </row>
    <row r="424" spans="1:6" ht="36" customHeight="1" x14ac:dyDescent="0.25">
      <c r="A424" s="13">
        <v>44623</v>
      </c>
      <c r="B424" s="15" t="s">
        <v>346</v>
      </c>
      <c r="C424" s="29" t="s">
        <v>347</v>
      </c>
      <c r="D424" s="29"/>
      <c r="E424" s="19"/>
      <c r="F424" s="16" t="s">
        <v>191</v>
      </c>
    </row>
    <row r="425" spans="1:6" ht="36" customHeight="1" x14ac:dyDescent="0.25">
      <c r="A425" s="9">
        <v>45580</v>
      </c>
      <c r="B425" s="11" t="s">
        <v>348</v>
      </c>
      <c r="C425" s="28" t="s">
        <v>349</v>
      </c>
      <c r="D425" s="28"/>
      <c r="E425" s="18" t="s">
        <v>350</v>
      </c>
      <c r="F425" s="12" t="s">
        <v>132</v>
      </c>
    </row>
    <row r="426" spans="1:6" ht="36" customHeight="1" x14ac:dyDescent="0.25">
      <c r="A426" s="13">
        <v>45580</v>
      </c>
      <c r="B426" s="15" t="s">
        <v>351</v>
      </c>
      <c r="C426" s="29" t="s">
        <v>352</v>
      </c>
      <c r="D426" s="29"/>
      <c r="E426" s="19"/>
      <c r="F426" s="16" t="s">
        <v>132</v>
      </c>
    </row>
    <row r="427" spans="1:6" ht="36" customHeight="1" x14ac:dyDescent="0.25">
      <c r="A427" s="9">
        <v>45580</v>
      </c>
      <c r="B427" s="11" t="s">
        <v>353</v>
      </c>
      <c r="C427" s="28" t="s">
        <v>354</v>
      </c>
      <c r="D427" s="28"/>
      <c r="E427" s="18"/>
      <c r="F427" s="12" t="s">
        <v>132</v>
      </c>
    </row>
    <row r="428" spans="1:6" ht="36" customHeight="1" x14ac:dyDescent="0.25">
      <c r="A428" s="13">
        <v>45580</v>
      </c>
      <c r="B428" s="15" t="s">
        <v>355</v>
      </c>
      <c r="C428" s="29" t="s">
        <v>356</v>
      </c>
      <c r="D428" s="29"/>
      <c r="E428" s="19"/>
      <c r="F428" s="16" t="s">
        <v>132</v>
      </c>
    </row>
    <row r="429" spans="1:6" ht="36" customHeight="1" x14ac:dyDescent="0.25">
      <c r="A429" s="9">
        <v>45580</v>
      </c>
      <c r="B429" s="11" t="s">
        <v>357</v>
      </c>
      <c r="C429" s="28" t="s">
        <v>358</v>
      </c>
      <c r="D429" s="28"/>
      <c r="E429" s="18"/>
      <c r="F429" s="12" t="s">
        <v>132</v>
      </c>
    </row>
    <row r="430" spans="1:6" ht="36" customHeight="1" x14ac:dyDescent="0.25">
      <c r="A430" s="13">
        <v>45580</v>
      </c>
      <c r="B430" s="15" t="s">
        <v>359</v>
      </c>
      <c r="C430" s="29" t="s">
        <v>360</v>
      </c>
      <c r="D430" s="29"/>
      <c r="E430" s="19"/>
      <c r="F430" s="16" t="s">
        <v>132</v>
      </c>
    </row>
    <row r="431" spans="1:6" ht="36" customHeight="1" x14ac:dyDescent="0.25">
      <c r="A431" s="9">
        <v>45580</v>
      </c>
      <c r="B431" s="11" t="s">
        <v>361</v>
      </c>
      <c r="C431" s="28" t="s">
        <v>362</v>
      </c>
      <c r="D431" s="28"/>
      <c r="E431" s="18"/>
      <c r="F431" s="12" t="s">
        <v>132</v>
      </c>
    </row>
    <row r="432" spans="1:6" ht="36" customHeight="1" x14ac:dyDescent="0.25">
      <c r="A432" s="13">
        <v>45580</v>
      </c>
      <c r="B432" s="15" t="s">
        <v>363</v>
      </c>
      <c r="C432" s="29" t="s">
        <v>364</v>
      </c>
      <c r="D432" s="29"/>
      <c r="E432" s="19"/>
      <c r="F432" s="16" t="s">
        <v>132</v>
      </c>
    </row>
    <row r="433" spans="1:6" ht="36" customHeight="1" x14ac:dyDescent="0.25">
      <c r="A433" s="9">
        <v>45580</v>
      </c>
      <c r="B433" s="11" t="s">
        <v>365</v>
      </c>
      <c r="C433" s="28" t="s">
        <v>366</v>
      </c>
      <c r="D433" s="28"/>
      <c r="E433" s="18" t="s">
        <v>367</v>
      </c>
      <c r="F433" s="12" t="s">
        <v>132</v>
      </c>
    </row>
    <row r="434" spans="1:6" ht="36" customHeight="1" x14ac:dyDescent="0.25">
      <c r="A434" s="13">
        <v>45805</v>
      </c>
      <c r="B434" s="15" t="s">
        <v>368</v>
      </c>
      <c r="C434" s="29" t="s">
        <v>369</v>
      </c>
      <c r="D434" s="29"/>
      <c r="E434" s="19"/>
      <c r="F434" s="16" t="s">
        <v>193</v>
      </c>
    </row>
    <row r="435" spans="1:6" ht="36" customHeight="1" x14ac:dyDescent="0.25">
      <c r="A435" s="9">
        <v>45805</v>
      </c>
      <c r="B435" s="11" t="s">
        <v>370</v>
      </c>
      <c r="C435" s="28" t="s">
        <v>371</v>
      </c>
      <c r="D435" s="28"/>
      <c r="E435" s="18"/>
      <c r="F435" s="12" t="s">
        <v>193</v>
      </c>
    </row>
    <row r="436" spans="1:6" ht="36" customHeight="1" x14ac:dyDescent="0.25">
      <c r="A436" s="13">
        <v>45805</v>
      </c>
      <c r="B436" s="15" t="s">
        <v>372</v>
      </c>
      <c r="C436" s="29" t="s">
        <v>373</v>
      </c>
      <c r="D436" s="29"/>
      <c r="E436" s="19"/>
      <c r="F436" s="16" t="s">
        <v>193</v>
      </c>
    </row>
    <row r="437" spans="1:6" ht="36" customHeight="1" x14ac:dyDescent="0.25">
      <c r="A437" s="9">
        <v>45805</v>
      </c>
      <c r="B437" s="11" t="s">
        <v>374</v>
      </c>
      <c r="C437" s="28" t="s">
        <v>375</v>
      </c>
      <c r="D437" s="28"/>
      <c r="E437" s="18"/>
      <c r="F437" s="12" t="s">
        <v>193</v>
      </c>
    </row>
    <row r="438" spans="1:6" ht="36" customHeight="1" x14ac:dyDescent="0.25">
      <c r="A438" s="13">
        <v>45805</v>
      </c>
      <c r="B438" s="15" t="s">
        <v>376</v>
      </c>
      <c r="C438" s="29" t="s">
        <v>377</v>
      </c>
      <c r="D438" s="29"/>
      <c r="E438" s="19"/>
      <c r="F438" s="16" t="s">
        <v>193</v>
      </c>
    </row>
    <row r="439" spans="1:6" ht="36" customHeight="1" x14ac:dyDescent="0.25">
      <c r="A439" s="9">
        <v>45866</v>
      </c>
      <c r="B439" s="11" t="s">
        <v>378</v>
      </c>
      <c r="C439" s="28" t="s">
        <v>379</v>
      </c>
      <c r="D439" s="28"/>
      <c r="E439" s="18"/>
      <c r="F439" s="12" t="s">
        <v>134</v>
      </c>
    </row>
    <row r="440" spans="1:6" ht="36" customHeight="1" x14ac:dyDescent="0.25">
      <c r="A440" s="13">
        <v>45866</v>
      </c>
      <c r="B440" s="15" t="s">
        <v>380</v>
      </c>
      <c r="C440" s="29" t="s">
        <v>381</v>
      </c>
      <c r="D440" s="29"/>
      <c r="E440" s="19" t="s">
        <v>263</v>
      </c>
      <c r="F440" s="16" t="s">
        <v>134</v>
      </c>
    </row>
    <row r="441" spans="1:6" ht="36" customHeight="1" x14ac:dyDescent="0.25">
      <c r="A441" s="9">
        <v>45866</v>
      </c>
      <c r="B441" s="11" t="s">
        <v>382</v>
      </c>
      <c r="C441" s="28" t="s">
        <v>383</v>
      </c>
      <c r="D441" s="28"/>
      <c r="E441" s="18" t="s">
        <v>384</v>
      </c>
      <c r="F441" s="12" t="s">
        <v>134</v>
      </c>
    </row>
    <row r="442" spans="1:6" ht="45.95" customHeight="1" x14ac:dyDescent="0.25">
      <c r="A442" s="13">
        <v>46246</v>
      </c>
      <c r="B442" s="15" t="s">
        <v>385</v>
      </c>
      <c r="C442" s="29" t="s">
        <v>386</v>
      </c>
      <c r="D442" s="29"/>
      <c r="E442" s="19"/>
      <c r="F442" s="16" t="s">
        <v>144</v>
      </c>
    </row>
    <row r="443" spans="1:6" ht="45.95" customHeight="1" x14ac:dyDescent="0.25">
      <c r="A443" s="9">
        <v>46246</v>
      </c>
      <c r="B443" s="11" t="s">
        <v>387</v>
      </c>
      <c r="C443" s="28" t="s">
        <v>388</v>
      </c>
      <c r="D443" s="28"/>
      <c r="E443" s="18" t="s">
        <v>389</v>
      </c>
      <c r="F443" s="12" t="s">
        <v>144</v>
      </c>
    </row>
    <row r="444" spans="1:6" s="17" customFormat="1" ht="8.1" customHeight="1" x14ac:dyDescent="0.15"/>
    <row r="445" spans="1:6" ht="20.100000000000001" customHeight="1" x14ac:dyDescent="0.25">
      <c r="A445" s="25" t="s">
        <v>96</v>
      </c>
      <c r="B445" s="25"/>
      <c r="C445" s="25"/>
      <c r="D445" s="25"/>
      <c r="E445" s="25"/>
      <c r="F445" s="25"/>
    </row>
    <row r="446" spans="1:6" ht="18" customHeight="1" x14ac:dyDescent="0.25">
      <c r="A446" s="26" t="s">
        <v>97</v>
      </c>
      <c r="B446" s="26"/>
      <c r="C446" s="26"/>
      <c r="D446" s="26"/>
      <c r="E446" s="26"/>
      <c r="F446" s="26"/>
    </row>
    <row r="447" spans="1:6" x14ac:dyDescent="0.25">
      <c r="A447" s="7" t="s">
        <v>98</v>
      </c>
    </row>
    <row r="448" spans="1:6" x14ac:dyDescent="0.25">
      <c r="A448" s="8" t="s">
        <v>118</v>
      </c>
      <c r="B448" s="8" t="s">
        <v>264</v>
      </c>
      <c r="C448" s="8" t="s">
        <v>119</v>
      </c>
      <c r="D448" s="8"/>
      <c r="E448" s="8" t="s">
        <v>122</v>
      </c>
      <c r="F448" s="8" t="s">
        <v>123</v>
      </c>
    </row>
    <row r="449" spans="1:6" ht="18" customHeight="1" x14ac:dyDescent="0.25">
      <c r="A449" s="9">
        <v>44706</v>
      </c>
      <c r="B449" s="11" t="s">
        <v>390</v>
      </c>
      <c r="C449" s="11" t="s">
        <v>391</v>
      </c>
      <c r="D449" s="11"/>
      <c r="E449" s="11" t="s">
        <v>392</v>
      </c>
      <c r="F449" s="12" t="s">
        <v>393</v>
      </c>
    </row>
    <row r="450" spans="1:6" ht="18" customHeight="1" x14ac:dyDescent="0.25">
      <c r="A450" s="13">
        <v>44838</v>
      </c>
      <c r="B450" s="15" t="s">
        <v>394</v>
      </c>
      <c r="C450" s="15" t="s">
        <v>395</v>
      </c>
      <c r="D450" s="15"/>
      <c r="E450" s="15" t="s">
        <v>396</v>
      </c>
      <c r="F450" s="16" t="s">
        <v>397</v>
      </c>
    </row>
    <row r="451" spans="1:6" ht="18" customHeight="1" x14ac:dyDescent="0.25">
      <c r="A451" s="9">
        <v>44923</v>
      </c>
      <c r="B451" s="11" t="s">
        <v>398</v>
      </c>
      <c r="C451" s="11" t="s">
        <v>399</v>
      </c>
      <c r="D451" s="11"/>
      <c r="E451" s="11" t="s">
        <v>400</v>
      </c>
      <c r="F451" s="12" t="s">
        <v>401</v>
      </c>
    </row>
    <row r="452" spans="1:6" ht="18" customHeight="1" x14ac:dyDescent="0.25">
      <c r="A452" s="13">
        <v>45768</v>
      </c>
      <c r="B452" s="15" t="s">
        <v>402</v>
      </c>
      <c r="C452" s="15" t="s">
        <v>403</v>
      </c>
      <c r="D452" s="15"/>
      <c r="E452" s="15"/>
      <c r="F452" s="16" t="s">
        <v>404</v>
      </c>
    </row>
    <row r="453" spans="1:6" s="17" customFormat="1" ht="8.1" customHeight="1" x14ac:dyDescent="0.15"/>
    <row r="454" spans="1:6" ht="20.100000000000001" customHeight="1" x14ac:dyDescent="0.25">
      <c r="A454" s="25" t="s">
        <v>99</v>
      </c>
      <c r="B454" s="25"/>
      <c r="C454" s="25"/>
      <c r="D454" s="25"/>
      <c r="E454" s="25"/>
      <c r="F454" s="25"/>
    </row>
    <row r="455" spans="1:6" ht="18" customHeight="1" x14ac:dyDescent="0.25">
      <c r="A455" s="26" t="s">
        <v>100</v>
      </c>
      <c r="B455" s="26"/>
      <c r="C455" s="26"/>
      <c r="D455" s="26"/>
      <c r="E455" s="26"/>
      <c r="F455" s="26"/>
    </row>
    <row r="456" spans="1:6" x14ac:dyDescent="0.25">
      <c r="A456" s="7" t="s">
        <v>101</v>
      </c>
    </row>
    <row r="457" spans="1:6" x14ac:dyDescent="0.25">
      <c r="A457" s="8" t="s">
        <v>118</v>
      </c>
      <c r="B457" s="8" t="s">
        <v>405</v>
      </c>
      <c r="C457" s="27" t="s">
        <v>265</v>
      </c>
      <c r="D457" s="27"/>
      <c r="E457" s="8" t="s">
        <v>122</v>
      </c>
      <c r="F457" s="8" t="s">
        <v>123</v>
      </c>
    </row>
    <row r="458" spans="1:6" ht="45.95" customHeight="1" x14ac:dyDescent="0.25">
      <c r="A458" s="9">
        <v>44015</v>
      </c>
      <c r="B458" s="11" t="s">
        <v>406</v>
      </c>
      <c r="C458" s="28" t="s">
        <v>407</v>
      </c>
      <c r="D458" s="28"/>
      <c r="E458" s="18" t="s">
        <v>408</v>
      </c>
      <c r="F458" s="12" t="s">
        <v>409</v>
      </c>
    </row>
    <row r="459" spans="1:6" ht="45.95" customHeight="1" x14ac:dyDescent="0.25">
      <c r="A459" s="13">
        <v>44033</v>
      </c>
      <c r="B459" s="15" t="s">
        <v>410</v>
      </c>
      <c r="C459" s="29" t="s">
        <v>411</v>
      </c>
      <c r="D459" s="29"/>
      <c r="E459" s="19" t="s">
        <v>412</v>
      </c>
      <c r="F459" s="16" t="s">
        <v>413</v>
      </c>
    </row>
    <row r="460" spans="1:6" s="17" customFormat="1" ht="8.1" customHeight="1" x14ac:dyDescent="0.15"/>
    <row r="461" spans="1:6" ht="20.100000000000001" customHeight="1" x14ac:dyDescent="0.25">
      <c r="A461" s="25" t="s">
        <v>102</v>
      </c>
      <c r="B461" s="25"/>
      <c r="C461" s="25"/>
      <c r="D461" s="25"/>
      <c r="E461" s="25"/>
      <c r="F461" s="25"/>
    </row>
    <row r="462" spans="1:6" ht="18" customHeight="1" x14ac:dyDescent="0.25">
      <c r="A462" s="26" t="s">
        <v>103</v>
      </c>
      <c r="B462" s="26"/>
      <c r="C462" s="26"/>
      <c r="D462" s="26"/>
      <c r="E462" s="26"/>
      <c r="F462" s="26"/>
    </row>
    <row r="463" spans="1:6" x14ac:dyDescent="0.25">
      <c r="A463" s="7" t="s">
        <v>104</v>
      </c>
    </row>
    <row r="464" spans="1:6" x14ac:dyDescent="0.25">
      <c r="A464" s="8" t="s">
        <v>118</v>
      </c>
      <c r="B464" s="8" t="s">
        <v>264</v>
      </c>
      <c r="C464" s="27" t="s">
        <v>414</v>
      </c>
      <c r="D464" s="27"/>
      <c r="E464" s="8" t="s">
        <v>122</v>
      </c>
      <c r="F464" s="8" t="s">
        <v>123</v>
      </c>
    </row>
    <row r="465" spans="1:6" ht="45.95" customHeight="1" x14ac:dyDescent="0.25">
      <c r="A465" s="9">
        <v>44047</v>
      </c>
      <c r="B465" s="11" t="s">
        <v>415</v>
      </c>
      <c r="C465" s="28" t="s">
        <v>416</v>
      </c>
      <c r="D465" s="28"/>
      <c r="E465" s="18" t="s">
        <v>417</v>
      </c>
      <c r="F465" s="12" t="s">
        <v>418</v>
      </c>
    </row>
    <row r="466" spans="1:6" ht="45.95" customHeight="1" x14ac:dyDescent="0.25">
      <c r="A466" s="13">
        <v>44047</v>
      </c>
      <c r="B466" s="15" t="s">
        <v>419</v>
      </c>
      <c r="C466" s="29" t="s">
        <v>420</v>
      </c>
      <c r="D466" s="29"/>
      <c r="E466" s="19" t="s">
        <v>421</v>
      </c>
      <c r="F466" s="16" t="s">
        <v>422</v>
      </c>
    </row>
    <row r="467" spans="1:6" ht="45.95" customHeight="1" x14ac:dyDescent="0.25">
      <c r="A467" s="9">
        <v>44051</v>
      </c>
      <c r="B467" s="11" t="s">
        <v>415</v>
      </c>
      <c r="C467" s="28" t="s">
        <v>423</v>
      </c>
      <c r="D467" s="28"/>
      <c r="E467" s="18" t="s">
        <v>424</v>
      </c>
      <c r="F467" s="12" t="s">
        <v>425</v>
      </c>
    </row>
    <row r="468" spans="1:6" ht="45.95" customHeight="1" x14ac:dyDescent="0.25">
      <c r="A468" s="13">
        <v>44054</v>
      </c>
      <c r="B468" s="15" t="s">
        <v>426</v>
      </c>
      <c r="C468" s="29" t="s">
        <v>427</v>
      </c>
      <c r="D468" s="29"/>
      <c r="E468" s="19"/>
      <c r="F468" s="16" t="s">
        <v>428</v>
      </c>
    </row>
    <row r="469" spans="1:6" ht="45.95" customHeight="1" x14ac:dyDescent="0.25">
      <c r="A469" s="9">
        <v>44059</v>
      </c>
      <c r="B469" s="11" t="s">
        <v>429</v>
      </c>
      <c r="C469" s="28" t="s">
        <v>430</v>
      </c>
      <c r="D469" s="28"/>
      <c r="E469" s="18"/>
      <c r="F469" s="12" t="s">
        <v>431</v>
      </c>
    </row>
    <row r="470" spans="1:6" s="17" customFormat="1" ht="8.1" customHeight="1" x14ac:dyDescent="0.15"/>
    <row r="471" spans="1:6" ht="18" customHeight="1" x14ac:dyDescent="0.25">
      <c r="A471" s="26" t="s">
        <v>105</v>
      </c>
      <c r="B471" s="26"/>
      <c r="C471" s="26"/>
      <c r="D471" s="26"/>
      <c r="E471" s="26"/>
      <c r="F471" s="26"/>
    </row>
    <row r="472" spans="1:6" x14ac:dyDescent="0.25">
      <c r="A472" s="7" t="s">
        <v>106</v>
      </c>
    </row>
    <row r="473" spans="1:6" x14ac:dyDescent="0.25">
      <c r="A473" s="8" t="s">
        <v>118</v>
      </c>
      <c r="B473" s="8" t="s">
        <v>264</v>
      </c>
      <c r="C473" s="27" t="s">
        <v>414</v>
      </c>
      <c r="D473" s="27"/>
      <c r="E473" s="8" t="s">
        <v>122</v>
      </c>
      <c r="F473" s="8" t="s">
        <v>123</v>
      </c>
    </row>
    <row r="474" spans="1:6" ht="45.95" customHeight="1" x14ac:dyDescent="0.25">
      <c r="A474" s="9">
        <v>45676</v>
      </c>
      <c r="B474" s="11" t="s">
        <v>432</v>
      </c>
      <c r="C474" s="28" t="s">
        <v>433</v>
      </c>
      <c r="D474" s="28"/>
      <c r="E474" s="18" t="s">
        <v>434</v>
      </c>
      <c r="F474" s="12" t="s">
        <v>435</v>
      </c>
    </row>
    <row r="475" spans="1:6" s="17" customFormat="1" ht="8.1" customHeight="1" x14ac:dyDescent="0.15"/>
    <row r="476" spans="1:6" ht="18" customHeight="1" x14ac:dyDescent="0.25">
      <c r="A476" s="26" t="s">
        <v>107</v>
      </c>
      <c r="B476" s="26"/>
      <c r="C476" s="26"/>
      <c r="D476" s="26"/>
      <c r="E476" s="26"/>
      <c r="F476" s="26"/>
    </row>
    <row r="477" spans="1:6" x14ac:dyDescent="0.25">
      <c r="A477" s="7" t="s">
        <v>108</v>
      </c>
    </row>
    <row r="478" spans="1:6" x14ac:dyDescent="0.25">
      <c r="A478" s="8" t="s">
        <v>118</v>
      </c>
      <c r="B478" s="8" t="s">
        <v>264</v>
      </c>
      <c r="C478" s="27" t="s">
        <v>414</v>
      </c>
      <c r="D478" s="27"/>
      <c r="E478" s="8" t="s">
        <v>122</v>
      </c>
      <c r="F478" s="8" t="s">
        <v>123</v>
      </c>
    </row>
    <row r="479" spans="1:6" ht="45.95" customHeight="1" x14ac:dyDescent="0.25">
      <c r="A479" s="9">
        <v>45692</v>
      </c>
      <c r="B479" s="11" t="s">
        <v>107</v>
      </c>
      <c r="C479" s="28" t="s">
        <v>436</v>
      </c>
      <c r="D479" s="28"/>
      <c r="E479" s="18" t="s">
        <v>437</v>
      </c>
      <c r="F479" s="12" t="s">
        <v>438</v>
      </c>
    </row>
    <row r="480" spans="1:6" s="17" customFormat="1" ht="8.1" customHeight="1" x14ac:dyDescent="0.15"/>
    <row r="481" spans="1:6" ht="18" customHeight="1" x14ac:dyDescent="0.25">
      <c r="A481" s="26" t="s">
        <v>109</v>
      </c>
      <c r="B481" s="26"/>
      <c r="C481" s="26"/>
      <c r="D481" s="26"/>
      <c r="E481" s="26"/>
      <c r="F481" s="26"/>
    </row>
    <row r="482" spans="1:6" x14ac:dyDescent="0.25">
      <c r="A482" s="7" t="s">
        <v>110</v>
      </c>
    </row>
    <row r="483" spans="1:6" x14ac:dyDescent="0.25">
      <c r="A483" s="8" t="s">
        <v>118</v>
      </c>
      <c r="B483" s="8" t="s">
        <v>119</v>
      </c>
      <c r="C483" s="8"/>
      <c r="D483" s="8"/>
      <c r="E483" s="8" t="s">
        <v>122</v>
      </c>
      <c r="F483" s="8" t="s">
        <v>123</v>
      </c>
    </row>
    <row r="484" spans="1:6" ht="18" customHeight="1" x14ac:dyDescent="0.25">
      <c r="A484" s="9">
        <v>45580</v>
      </c>
      <c r="B484" s="11" t="s">
        <v>439</v>
      </c>
      <c r="C484" s="11"/>
      <c r="D484" s="11"/>
      <c r="E484" s="11"/>
      <c r="F484" s="12" t="s">
        <v>440</v>
      </c>
    </row>
    <row r="485" spans="1:6" s="17" customFormat="1" ht="8.1" customHeight="1" x14ac:dyDescent="0.15"/>
    <row r="486" spans="1:6" ht="18" customHeight="1" x14ac:dyDescent="0.25">
      <c r="A486" s="26" t="s">
        <v>111</v>
      </c>
      <c r="B486" s="26"/>
      <c r="C486" s="26"/>
      <c r="D486" s="26"/>
      <c r="E486" s="26"/>
      <c r="F486" s="26"/>
    </row>
    <row r="487" spans="1:6" x14ac:dyDescent="0.25">
      <c r="A487" s="7" t="s">
        <v>112</v>
      </c>
    </row>
    <row r="488" spans="1:6" x14ac:dyDescent="0.25">
      <c r="A488" s="8" t="s">
        <v>118</v>
      </c>
      <c r="B488" s="8" t="s">
        <v>264</v>
      </c>
      <c r="C488" s="27" t="s">
        <v>265</v>
      </c>
      <c r="D488" s="27"/>
      <c r="E488" s="8" t="s">
        <v>122</v>
      </c>
      <c r="F488" s="8" t="s">
        <v>123</v>
      </c>
    </row>
    <row r="489" spans="1:6" ht="36" customHeight="1" x14ac:dyDescent="0.25">
      <c r="A489" s="9">
        <v>45583</v>
      </c>
      <c r="B489" s="11" t="s">
        <v>441</v>
      </c>
      <c r="C489" s="28" t="s">
        <v>442</v>
      </c>
      <c r="D489" s="28"/>
      <c r="E489" s="18" t="s">
        <v>443</v>
      </c>
      <c r="F489" s="12" t="s">
        <v>444</v>
      </c>
    </row>
    <row r="490" spans="1:6" ht="36" customHeight="1" x14ac:dyDescent="0.25">
      <c r="A490" s="13">
        <v>45812</v>
      </c>
      <c r="B490" s="15" t="s">
        <v>445</v>
      </c>
      <c r="C490" s="29" t="s">
        <v>446</v>
      </c>
      <c r="D490" s="29"/>
      <c r="E490" s="19" t="s">
        <v>447</v>
      </c>
      <c r="F490" s="16" t="s">
        <v>448</v>
      </c>
    </row>
    <row r="491" spans="1:6" s="17" customFormat="1" ht="8.1" customHeight="1" x14ac:dyDescent="0.15"/>
    <row r="492" spans="1:6" ht="18" customHeight="1" x14ac:dyDescent="0.25">
      <c r="A492" s="26" t="s">
        <v>113</v>
      </c>
      <c r="B492" s="26"/>
      <c r="C492" s="26"/>
      <c r="D492" s="26"/>
      <c r="E492" s="26"/>
      <c r="F492" s="26"/>
    </row>
    <row r="493" spans="1:6" x14ac:dyDescent="0.25">
      <c r="A493" s="7" t="s">
        <v>114</v>
      </c>
    </row>
    <row r="494" spans="1:6" x14ac:dyDescent="0.25">
      <c r="A494" s="8" t="s">
        <v>118</v>
      </c>
      <c r="B494" s="8" t="s">
        <v>264</v>
      </c>
      <c r="C494" s="27" t="s">
        <v>414</v>
      </c>
      <c r="D494" s="27"/>
      <c r="E494" s="8" t="s">
        <v>122</v>
      </c>
      <c r="F494" s="8" t="s">
        <v>123</v>
      </c>
    </row>
    <row r="495" spans="1:6" ht="36" customHeight="1" x14ac:dyDescent="0.25">
      <c r="A495" s="9">
        <v>44013</v>
      </c>
      <c r="B495" s="11" t="s">
        <v>449</v>
      </c>
      <c r="C495" s="28" t="s">
        <v>450</v>
      </c>
      <c r="D495" s="28"/>
      <c r="E495" s="18" t="s">
        <v>451</v>
      </c>
      <c r="F495" s="12" t="s">
        <v>452</v>
      </c>
    </row>
    <row r="496" spans="1:6" ht="45.95" customHeight="1" x14ac:dyDescent="0.25">
      <c r="A496" s="13">
        <v>44127</v>
      </c>
      <c r="B496" s="15" t="s">
        <v>453</v>
      </c>
      <c r="C496" s="29" t="s">
        <v>454</v>
      </c>
      <c r="D496" s="29"/>
      <c r="E496" s="19" t="s">
        <v>455</v>
      </c>
      <c r="F496" s="16" t="s">
        <v>456</v>
      </c>
    </row>
    <row r="497" spans="1:6" ht="45.95" customHeight="1" x14ac:dyDescent="0.25">
      <c r="A497" s="9">
        <v>45230</v>
      </c>
      <c r="B497" s="11" t="s">
        <v>457</v>
      </c>
      <c r="C497" s="28" t="s">
        <v>458</v>
      </c>
      <c r="D497" s="28"/>
      <c r="E497" s="18" t="s">
        <v>459</v>
      </c>
      <c r="F497" s="12" t="s">
        <v>460</v>
      </c>
    </row>
    <row r="498" spans="1:6" ht="45.95" customHeight="1" x14ac:dyDescent="0.25">
      <c r="A498" s="13">
        <v>45610</v>
      </c>
      <c r="B498" s="15" t="s">
        <v>461</v>
      </c>
      <c r="C498" s="29" t="s">
        <v>462</v>
      </c>
      <c r="D498" s="29"/>
      <c r="E498" s="19" t="s">
        <v>463</v>
      </c>
      <c r="F498" s="16" t="s">
        <v>464</v>
      </c>
    </row>
    <row r="499" spans="1:6" ht="36" customHeight="1" x14ac:dyDescent="0.25">
      <c r="A499" s="9">
        <v>45621</v>
      </c>
      <c r="B499" s="11" t="s">
        <v>465</v>
      </c>
      <c r="C499" s="28" t="s">
        <v>466</v>
      </c>
      <c r="D499" s="28"/>
      <c r="E499" s="18" t="s">
        <v>467</v>
      </c>
      <c r="F499" s="12" t="s">
        <v>468</v>
      </c>
    </row>
    <row r="500" spans="1:6" ht="45.95" customHeight="1" x14ac:dyDescent="0.25">
      <c r="A500" s="13">
        <v>45866</v>
      </c>
      <c r="B500" s="15" t="s">
        <v>469</v>
      </c>
      <c r="C500" s="29" t="s">
        <v>470</v>
      </c>
      <c r="D500" s="29"/>
      <c r="E500" s="19" t="s">
        <v>471</v>
      </c>
      <c r="F500" s="16" t="s">
        <v>472</v>
      </c>
    </row>
    <row r="501" spans="1:6" s="17" customFormat="1" ht="8.1" customHeight="1" x14ac:dyDescent="0.15"/>
    <row r="502" spans="1:6" x14ac:dyDescent="0.25">
      <c r="A502" s="30" t="s">
        <v>473</v>
      </c>
      <c r="B502" s="30"/>
      <c r="C502" s="30"/>
      <c r="D502" s="30"/>
      <c r="E502" s="30"/>
      <c r="F502" s="30"/>
    </row>
    <row r="503" spans="1:6" x14ac:dyDescent="0.25">
      <c r="A503" s="30"/>
      <c r="B503" s="30"/>
      <c r="C503" s="30"/>
      <c r="D503" s="30"/>
      <c r="E503" s="30"/>
      <c r="F503" s="30"/>
    </row>
  </sheetData>
  <mergeCells count="117">
    <mergeCell ref="A492:F492"/>
    <mergeCell ref="C494:D494"/>
    <mergeCell ref="C495:D495"/>
    <mergeCell ref="C496:D496"/>
    <mergeCell ref="C497:D497"/>
    <mergeCell ref="C498:D498"/>
    <mergeCell ref="C499:D499"/>
    <mergeCell ref="C500:D500"/>
    <mergeCell ref="A502:F503"/>
    <mergeCell ref="C474:D474"/>
    <mergeCell ref="A476:F476"/>
    <mergeCell ref="C478:D478"/>
    <mergeCell ref="C479:D479"/>
    <mergeCell ref="A481:F481"/>
    <mergeCell ref="A486:F486"/>
    <mergeCell ref="C488:D488"/>
    <mergeCell ref="C489:D489"/>
    <mergeCell ref="C490:D490"/>
    <mergeCell ref="A462:F462"/>
    <mergeCell ref="C464:D464"/>
    <mergeCell ref="C465:D465"/>
    <mergeCell ref="C466:D466"/>
    <mergeCell ref="C467:D467"/>
    <mergeCell ref="C468:D468"/>
    <mergeCell ref="C469:D469"/>
    <mergeCell ref="A471:F471"/>
    <mergeCell ref="C473:D473"/>
    <mergeCell ref="C443:D443"/>
    <mergeCell ref="A445:F445"/>
    <mergeCell ref="A446:F446"/>
    <mergeCell ref="A454:F454"/>
    <mergeCell ref="A455:F455"/>
    <mergeCell ref="C457:D457"/>
    <mergeCell ref="C458:D458"/>
    <mergeCell ref="C459:D459"/>
    <mergeCell ref="A461:F461"/>
    <mergeCell ref="C434:D434"/>
    <mergeCell ref="C435:D435"/>
    <mergeCell ref="C436:D436"/>
    <mergeCell ref="C437:D437"/>
    <mergeCell ref="C438:D438"/>
    <mergeCell ref="C439:D439"/>
    <mergeCell ref="C440:D440"/>
    <mergeCell ref="C441:D441"/>
    <mergeCell ref="C442:D442"/>
    <mergeCell ref="C425:D425"/>
    <mergeCell ref="C426:D426"/>
    <mergeCell ref="C427:D427"/>
    <mergeCell ref="C428:D428"/>
    <mergeCell ref="C429:D429"/>
    <mergeCell ref="C430:D430"/>
    <mergeCell ref="C431:D431"/>
    <mergeCell ref="C432:D432"/>
    <mergeCell ref="C433:D433"/>
    <mergeCell ref="A407:F407"/>
    <mergeCell ref="A416:F416"/>
    <mergeCell ref="C418:D418"/>
    <mergeCell ref="C419:D419"/>
    <mergeCell ref="C420:D420"/>
    <mergeCell ref="C421:D421"/>
    <mergeCell ref="C422:D422"/>
    <mergeCell ref="C423:D423"/>
    <mergeCell ref="C424:D424"/>
    <mergeCell ref="A351:F351"/>
    <mergeCell ref="A357:F357"/>
    <mergeCell ref="A362:F362"/>
    <mergeCell ref="A369:F369"/>
    <mergeCell ref="A377:F377"/>
    <mergeCell ref="A383:F383"/>
    <mergeCell ref="A389:F389"/>
    <mergeCell ref="A395:F395"/>
    <mergeCell ref="A401:F401"/>
    <mergeCell ref="A292:F292"/>
    <mergeCell ref="A300:F300"/>
    <mergeCell ref="A307:F307"/>
    <mergeCell ref="A313:F313"/>
    <mergeCell ref="A319:F319"/>
    <mergeCell ref="A326:F326"/>
    <mergeCell ref="A331:F331"/>
    <mergeCell ref="A332:F332"/>
    <mergeCell ref="A343:F343"/>
    <mergeCell ref="A275:F275"/>
    <mergeCell ref="A282:F282"/>
    <mergeCell ref="A283:F283"/>
    <mergeCell ref="C285:D285"/>
    <mergeCell ref="C286:D286"/>
    <mergeCell ref="C287:D287"/>
    <mergeCell ref="C288:D288"/>
    <mergeCell ref="C289:D289"/>
    <mergeCell ref="A291:F291"/>
    <mergeCell ref="A149:F149"/>
    <mergeCell ref="A165:F165"/>
    <mergeCell ref="A181:F181"/>
    <mergeCell ref="A197:F197"/>
    <mergeCell ref="A213:F213"/>
    <mergeCell ref="A229:F229"/>
    <mergeCell ref="A244:F244"/>
    <mergeCell ref="A254:F254"/>
    <mergeCell ref="A270:F270"/>
    <mergeCell ref="A47:F47"/>
    <mergeCell ref="A48:F48"/>
    <mergeCell ref="A58:F58"/>
    <mergeCell ref="A68:F68"/>
    <mergeCell ref="A69:F69"/>
    <mergeCell ref="A85:F85"/>
    <mergeCell ref="A101:F101"/>
    <mergeCell ref="A117:F117"/>
    <mergeCell ref="A133:F133"/>
    <mergeCell ref="A1:F1"/>
    <mergeCell ref="A2:F2"/>
    <mergeCell ref="A4:F4"/>
    <mergeCell ref="A5:F5"/>
    <mergeCell ref="A15:F15"/>
    <mergeCell ref="A24:F24"/>
    <mergeCell ref="A30:F30"/>
    <mergeCell ref="A39:F39"/>
    <mergeCell ref="A40:F40"/>
  </mergeCells>
  <printOptions horizontalCentered="1"/>
  <pageMargins left="0.4" right="0.4" top="0.45" bottom="0.45" header="0.3" footer="0.3"/>
  <pageSetup paperSize="9" fitToHeight="0" orientation="landscape"/>
  <headerFooter>
    <oddHeader>&amp;CCecília — evolução dos exames</oddHeader>
    <oddFooter>&amp;LConferido nos laudos da pasta Exames  ·  coluna Arquivo = PDF  ·  não substitui o laudo&amp;R&amp;P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148F77"/>
    <pageSetUpPr fitToPage="1"/>
  </sheetPr>
  <dimension ref="A1:F503"/>
  <sheetViews>
    <sheetView showGridLines="0" workbookViewId="0"/>
  </sheetViews>
  <sheetFormatPr defaultRowHeight="15" x14ac:dyDescent="0.25"/>
  <cols>
    <col min="1" max="1" width="14.7109375" customWidth="1"/>
    <col min="2" max="2" width="26.7109375" customWidth="1"/>
    <col min="3" max="3" width="14.7109375" customWidth="1"/>
    <col min="4" max="4" width="28.7109375" customWidth="1"/>
    <col min="5" max="5" width="22.7109375" customWidth="1"/>
    <col min="6" max="6" width="32.7109375" customWidth="1"/>
  </cols>
  <sheetData>
    <row r="1" spans="1:6" ht="21.95" customHeight="1" x14ac:dyDescent="0.25">
      <c r="A1" s="22" t="s">
        <v>474</v>
      </c>
      <c r="B1" s="22"/>
      <c r="C1" s="22"/>
      <c r="D1" s="22"/>
      <c r="E1" s="22"/>
      <c r="F1" s="22"/>
    </row>
    <row r="2" spans="1:6" x14ac:dyDescent="0.25">
      <c r="A2" s="23" t="s">
        <v>475</v>
      </c>
      <c r="B2" s="23"/>
      <c r="C2" s="23"/>
      <c r="D2" s="23"/>
      <c r="E2" s="23"/>
      <c r="F2" s="23"/>
    </row>
    <row r="4" spans="1:6" ht="20.100000000000001" hidden="1" customHeight="1" x14ac:dyDescent="0.25">
      <c r="A4" s="25" t="s">
        <v>8</v>
      </c>
      <c r="B4" s="25"/>
      <c r="C4" s="25"/>
      <c r="D4" s="25"/>
      <c r="E4" s="25"/>
      <c r="F4" s="25"/>
    </row>
    <row r="5" spans="1:6" ht="18" hidden="1" customHeight="1" x14ac:dyDescent="0.25">
      <c r="A5" s="26" t="s">
        <v>9</v>
      </c>
      <c r="B5" s="26"/>
      <c r="C5" s="26"/>
      <c r="D5" s="26"/>
      <c r="E5" s="26"/>
      <c r="F5" s="26"/>
    </row>
    <row r="6" spans="1:6" hidden="1" x14ac:dyDescent="0.25">
      <c r="A6" s="7" t="s">
        <v>10</v>
      </c>
    </row>
    <row r="7" spans="1:6" hidden="1" x14ac:dyDescent="0.25">
      <c r="A7" s="8" t="s">
        <v>118</v>
      </c>
      <c r="B7" s="8" t="s">
        <v>119</v>
      </c>
      <c r="C7" s="8" t="s">
        <v>120</v>
      </c>
      <c r="D7" s="8" t="s">
        <v>121</v>
      </c>
      <c r="E7" s="8" t="s">
        <v>122</v>
      </c>
      <c r="F7" s="8" t="s">
        <v>123</v>
      </c>
    </row>
    <row r="8" spans="1:6" ht="18" hidden="1" customHeight="1" x14ac:dyDescent="0.25">
      <c r="A8" s="9">
        <v>44306</v>
      </c>
      <c r="B8" s="10">
        <v>15</v>
      </c>
      <c r="C8" s="11" t="s">
        <v>124</v>
      </c>
      <c r="D8" s="11" t="s">
        <v>125</v>
      </c>
      <c r="E8" s="11" t="s">
        <v>126</v>
      </c>
      <c r="F8" s="12" t="s">
        <v>127</v>
      </c>
    </row>
    <row r="9" spans="1:6" ht="18" hidden="1" customHeight="1" x14ac:dyDescent="0.25">
      <c r="A9" s="13">
        <v>44548</v>
      </c>
      <c r="B9" s="14">
        <v>18</v>
      </c>
      <c r="C9" s="15" t="s">
        <v>124</v>
      </c>
      <c r="D9" s="15" t="s">
        <v>128</v>
      </c>
      <c r="E9" s="15" t="s">
        <v>129</v>
      </c>
      <c r="F9" s="16" t="s">
        <v>130</v>
      </c>
    </row>
    <row r="10" spans="1:6" ht="27.95" hidden="1" customHeight="1" x14ac:dyDescent="0.25">
      <c r="A10" s="9">
        <v>45580</v>
      </c>
      <c r="B10" s="10">
        <v>39</v>
      </c>
      <c r="C10" s="11" t="s">
        <v>124</v>
      </c>
      <c r="D10" s="11" t="s">
        <v>131</v>
      </c>
      <c r="E10" s="11"/>
      <c r="F10" s="12" t="s">
        <v>132</v>
      </c>
    </row>
    <row r="11" spans="1:6" ht="18" hidden="1" customHeight="1" x14ac:dyDescent="0.25">
      <c r="A11" s="13">
        <v>45866</v>
      </c>
      <c r="B11" s="14">
        <v>122</v>
      </c>
      <c r="C11" s="15" t="s">
        <v>124</v>
      </c>
      <c r="D11" s="15" t="s">
        <v>131</v>
      </c>
      <c r="E11" s="15" t="s">
        <v>133</v>
      </c>
      <c r="F11" s="16" t="s">
        <v>134</v>
      </c>
    </row>
    <row r="12" spans="1:6" ht="18" hidden="1" customHeight="1" x14ac:dyDescent="0.25">
      <c r="A12" s="9">
        <v>46056</v>
      </c>
      <c r="B12" s="10">
        <v>68</v>
      </c>
      <c r="C12" s="11" t="s">
        <v>124</v>
      </c>
      <c r="D12" s="11" t="s">
        <v>131</v>
      </c>
      <c r="E12" s="11" t="s">
        <v>135</v>
      </c>
      <c r="F12" s="12" t="s">
        <v>136</v>
      </c>
    </row>
    <row r="13" spans="1:6" ht="27.95" hidden="1" customHeight="1" x14ac:dyDescent="0.25">
      <c r="A13" s="13">
        <v>46251</v>
      </c>
      <c r="B13" s="14">
        <v>173</v>
      </c>
      <c r="C13" s="15" t="s">
        <v>124</v>
      </c>
      <c r="D13" s="15" t="s">
        <v>137</v>
      </c>
      <c r="E13" s="15" t="s">
        <v>138</v>
      </c>
      <c r="F13" s="16" t="s">
        <v>139</v>
      </c>
    </row>
    <row r="14" spans="1:6" s="17" customFormat="1" ht="8.1" hidden="1" customHeight="1" x14ac:dyDescent="0.15"/>
    <row r="15" spans="1:6" ht="18" hidden="1" customHeight="1" x14ac:dyDescent="0.25">
      <c r="A15" s="26" t="s">
        <v>11</v>
      </c>
      <c r="B15" s="26"/>
      <c r="C15" s="26"/>
      <c r="D15" s="26"/>
      <c r="E15" s="26"/>
      <c r="F15" s="26"/>
    </row>
    <row r="16" spans="1:6" hidden="1" x14ac:dyDescent="0.25">
      <c r="A16" s="7" t="s">
        <v>12</v>
      </c>
    </row>
    <row r="17" spans="1:6" hidden="1" x14ac:dyDescent="0.25">
      <c r="A17" s="8" t="s">
        <v>118</v>
      </c>
      <c r="B17" s="8" t="s">
        <v>119</v>
      </c>
      <c r="C17" s="8" t="s">
        <v>120</v>
      </c>
      <c r="D17" s="8" t="s">
        <v>121</v>
      </c>
      <c r="E17" s="8" t="s">
        <v>122</v>
      </c>
      <c r="F17" s="8" t="s">
        <v>123</v>
      </c>
    </row>
    <row r="18" spans="1:6" ht="18" hidden="1" customHeight="1" x14ac:dyDescent="0.25">
      <c r="A18" s="9">
        <v>44306</v>
      </c>
      <c r="B18" s="10">
        <v>1</v>
      </c>
      <c r="C18" s="11" t="s">
        <v>140</v>
      </c>
      <c r="D18" s="11" t="s">
        <v>141</v>
      </c>
      <c r="E18" s="11"/>
      <c r="F18" s="12" t="s">
        <v>127</v>
      </c>
    </row>
    <row r="19" spans="1:6" ht="18" hidden="1" customHeight="1" x14ac:dyDescent="0.25">
      <c r="A19" s="13">
        <v>44548</v>
      </c>
      <c r="B19" s="14">
        <v>1.5</v>
      </c>
      <c r="C19" s="15" t="s">
        <v>140</v>
      </c>
      <c r="D19" s="15" t="s">
        <v>141</v>
      </c>
      <c r="E19" s="15"/>
      <c r="F19" s="16" t="s">
        <v>130</v>
      </c>
    </row>
    <row r="20" spans="1:6" ht="27.95" hidden="1" customHeight="1" x14ac:dyDescent="0.25">
      <c r="A20" s="9">
        <v>45580</v>
      </c>
      <c r="B20" s="10">
        <v>2</v>
      </c>
      <c r="C20" s="11" t="s">
        <v>140</v>
      </c>
      <c r="D20" s="11" t="s">
        <v>141</v>
      </c>
      <c r="E20" s="11"/>
      <c r="F20" s="12" t="s">
        <v>132</v>
      </c>
    </row>
    <row r="21" spans="1:6" ht="18" hidden="1" customHeight="1" x14ac:dyDescent="0.25">
      <c r="A21" s="13">
        <v>45866</v>
      </c>
      <c r="B21" s="14">
        <v>3.6</v>
      </c>
      <c r="C21" s="15" t="s">
        <v>140</v>
      </c>
      <c r="D21" s="15" t="s">
        <v>141</v>
      </c>
      <c r="E21" s="15" t="s">
        <v>142</v>
      </c>
      <c r="F21" s="16" t="s">
        <v>134</v>
      </c>
    </row>
    <row r="22" spans="1:6" ht="27.95" hidden="1" customHeight="1" x14ac:dyDescent="0.25">
      <c r="A22" s="9">
        <v>46246</v>
      </c>
      <c r="B22" s="10">
        <v>3.3</v>
      </c>
      <c r="C22" s="11" t="s">
        <v>140</v>
      </c>
      <c r="D22" s="11" t="s">
        <v>143</v>
      </c>
      <c r="E22" s="11"/>
      <c r="F22" s="12" t="s">
        <v>144</v>
      </c>
    </row>
    <row r="23" spans="1:6" s="17" customFormat="1" ht="8.1" hidden="1" customHeight="1" x14ac:dyDescent="0.15"/>
    <row r="24" spans="1:6" ht="18" hidden="1" customHeight="1" x14ac:dyDescent="0.25">
      <c r="A24" s="26" t="s">
        <v>13</v>
      </c>
      <c r="B24" s="26"/>
      <c r="C24" s="26"/>
      <c r="D24" s="26"/>
      <c r="E24" s="26"/>
      <c r="F24" s="26"/>
    </row>
    <row r="25" spans="1:6" hidden="1" x14ac:dyDescent="0.25">
      <c r="A25" s="7" t="s">
        <v>14</v>
      </c>
    </row>
    <row r="26" spans="1:6" hidden="1" x14ac:dyDescent="0.25">
      <c r="A26" s="8" t="s">
        <v>118</v>
      </c>
      <c r="B26" s="8" t="s">
        <v>119</v>
      </c>
      <c r="C26" s="8" t="s">
        <v>120</v>
      </c>
      <c r="D26" s="8" t="s">
        <v>121</v>
      </c>
      <c r="E26" s="8" t="s">
        <v>122</v>
      </c>
      <c r="F26" s="8" t="s">
        <v>123</v>
      </c>
    </row>
    <row r="27" spans="1:6" ht="18" hidden="1" customHeight="1" x14ac:dyDescent="0.25">
      <c r="A27" s="9">
        <v>44537</v>
      </c>
      <c r="B27" s="10">
        <v>1.08</v>
      </c>
      <c r="C27" s="11" t="s">
        <v>124</v>
      </c>
      <c r="D27" s="11" t="s">
        <v>145</v>
      </c>
      <c r="E27" s="11"/>
      <c r="F27" s="12" t="s">
        <v>130</v>
      </c>
    </row>
    <row r="28" spans="1:6" ht="18" hidden="1" customHeight="1" x14ac:dyDescent="0.25">
      <c r="A28" s="13">
        <v>45670</v>
      </c>
      <c r="B28" s="14">
        <v>2.17</v>
      </c>
      <c r="C28" s="15" t="s">
        <v>124</v>
      </c>
      <c r="D28" s="15" t="s">
        <v>146</v>
      </c>
      <c r="E28" s="15" t="s">
        <v>147</v>
      </c>
      <c r="F28" s="16" t="s">
        <v>148</v>
      </c>
    </row>
    <row r="29" spans="1:6" s="17" customFormat="1" ht="8.1" hidden="1" customHeight="1" x14ac:dyDescent="0.15"/>
    <row r="30" spans="1:6" ht="18" hidden="1" customHeight="1" x14ac:dyDescent="0.25">
      <c r="A30" s="26" t="s">
        <v>15</v>
      </c>
      <c r="B30" s="26"/>
      <c r="C30" s="26"/>
      <c r="D30" s="26"/>
      <c r="E30" s="26"/>
      <c r="F30" s="26"/>
    </row>
    <row r="31" spans="1:6" hidden="1" x14ac:dyDescent="0.25">
      <c r="A31" s="7" t="s">
        <v>16</v>
      </c>
    </row>
    <row r="32" spans="1:6" hidden="1" x14ac:dyDescent="0.25">
      <c r="A32" s="8" t="s">
        <v>149</v>
      </c>
      <c r="B32" s="8" t="s">
        <v>150</v>
      </c>
      <c r="C32" s="8" t="s">
        <v>151</v>
      </c>
      <c r="D32" s="8" t="s">
        <v>152</v>
      </c>
      <c r="E32" s="8" t="s">
        <v>122</v>
      </c>
      <c r="F32" s="8" t="s">
        <v>123</v>
      </c>
    </row>
    <row r="33" spans="1:6" ht="18" hidden="1" customHeight="1" x14ac:dyDescent="0.25">
      <c r="A33" s="11" t="s">
        <v>153</v>
      </c>
      <c r="B33" s="10">
        <v>2.17</v>
      </c>
      <c r="C33" s="11"/>
      <c r="D33" s="10">
        <v>10.3</v>
      </c>
      <c r="E33" s="11"/>
      <c r="F33" s="12" t="s">
        <v>154</v>
      </c>
    </row>
    <row r="34" spans="1:6" ht="18" hidden="1" customHeight="1" x14ac:dyDescent="0.25">
      <c r="A34" s="15" t="s">
        <v>155</v>
      </c>
      <c r="B34" s="14">
        <v>0.43</v>
      </c>
      <c r="C34" s="14">
        <v>199</v>
      </c>
      <c r="D34" s="14">
        <v>12.1</v>
      </c>
      <c r="E34" s="15"/>
      <c r="F34" s="16" t="s">
        <v>154</v>
      </c>
    </row>
    <row r="35" spans="1:6" ht="18" hidden="1" customHeight="1" x14ac:dyDescent="0.25">
      <c r="A35" s="11" t="s">
        <v>156</v>
      </c>
      <c r="B35" s="10">
        <v>1.06</v>
      </c>
      <c r="C35" s="10">
        <v>112</v>
      </c>
      <c r="D35" s="10">
        <v>15.6</v>
      </c>
      <c r="E35" s="11"/>
      <c r="F35" s="12" t="s">
        <v>154</v>
      </c>
    </row>
    <row r="36" spans="1:6" ht="18" hidden="1" customHeight="1" x14ac:dyDescent="0.25">
      <c r="A36" s="15" t="s">
        <v>157</v>
      </c>
      <c r="B36" s="14">
        <v>3.07</v>
      </c>
      <c r="C36" s="14">
        <v>73</v>
      </c>
      <c r="D36" s="14">
        <v>29</v>
      </c>
      <c r="E36" s="15" t="s">
        <v>158</v>
      </c>
      <c r="F36" s="16" t="s">
        <v>154</v>
      </c>
    </row>
    <row r="37" spans="1:6" ht="18" hidden="1" customHeight="1" x14ac:dyDescent="0.25">
      <c r="A37" s="11" t="s">
        <v>159</v>
      </c>
      <c r="B37" s="10">
        <v>0.97</v>
      </c>
      <c r="C37" s="10">
        <v>70</v>
      </c>
      <c r="D37" s="10">
        <v>22.2</v>
      </c>
      <c r="E37" s="11" t="s">
        <v>160</v>
      </c>
      <c r="F37" s="12" t="s">
        <v>154</v>
      </c>
    </row>
    <row r="38" spans="1:6" s="17" customFormat="1" ht="8.1" hidden="1" customHeight="1" x14ac:dyDescent="0.15"/>
    <row r="39" spans="1:6" ht="20.100000000000001" hidden="1" customHeight="1" x14ac:dyDescent="0.25">
      <c r="A39" s="25" t="s">
        <v>17</v>
      </c>
      <c r="B39" s="25"/>
      <c r="C39" s="25"/>
      <c r="D39" s="25"/>
      <c r="E39" s="25"/>
      <c r="F39" s="25"/>
    </row>
    <row r="40" spans="1:6" ht="18" hidden="1" customHeight="1" x14ac:dyDescent="0.25">
      <c r="A40" s="26" t="s">
        <v>18</v>
      </c>
      <c r="B40" s="26"/>
      <c r="C40" s="26"/>
      <c r="D40" s="26"/>
      <c r="E40" s="26"/>
      <c r="F40" s="26"/>
    </row>
    <row r="41" spans="1:6" hidden="1" x14ac:dyDescent="0.25">
      <c r="A41" s="7" t="s">
        <v>19</v>
      </c>
    </row>
    <row r="42" spans="1:6" hidden="1" x14ac:dyDescent="0.25">
      <c r="A42" s="8" t="s">
        <v>118</v>
      </c>
      <c r="B42" s="8" t="s">
        <v>161</v>
      </c>
      <c r="C42" s="8" t="s">
        <v>162</v>
      </c>
      <c r="D42" s="8" t="s">
        <v>163</v>
      </c>
      <c r="E42" s="8" t="s">
        <v>122</v>
      </c>
      <c r="F42" s="8" t="s">
        <v>123</v>
      </c>
    </row>
    <row r="43" spans="1:6" ht="18" hidden="1" customHeight="1" x14ac:dyDescent="0.25">
      <c r="A43" s="9">
        <v>45698</v>
      </c>
      <c r="B43" s="11" t="s">
        <v>164</v>
      </c>
      <c r="C43" s="11" t="s">
        <v>165</v>
      </c>
      <c r="D43" s="11" t="s">
        <v>166</v>
      </c>
      <c r="E43" s="11"/>
      <c r="F43" s="12" t="s">
        <v>167</v>
      </c>
    </row>
    <row r="44" spans="1:6" ht="18" hidden="1" customHeight="1" x14ac:dyDescent="0.25">
      <c r="A44" s="13">
        <v>46071</v>
      </c>
      <c r="B44" s="15" t="s">
        <v>168</v>
      </c>
      <c r="C44" s="15" t="s">
        <v>169</v>
      </c>
      <c r="D44" s="15" t="s">
        <v>166</v>
      </c>
      <c r="E44" s="15" t="s">
        <v>170</v>
      </c>
      <c r="F44" s="16" t="s">
        <v>171</v>
      </c>
    </row>
    <row r="45" spans="1:6" ht="18" hidden="1" customHeight="1" x14ac:dyDescent="0.25">
      <c r="A45" s="9">
        <v>46232</v>
      </c>
      <c r="B45" s="11" t="s">
        <v>172</v>
      </c>
      <c r="C45" s="11" t="s">
        <v>173</v>
      </c>
      <c r="D45" s="11" t="s">
        <v>174</v>
      </c>
      <c r="E45" s="11" t="s">
        <v>175</v>
      </c>
      <c r="F45" s="12" t="s">
        <v>176</v>
      </c>
    </row>
    <row r="46" spans="1:6" s="17" customFormat="1" ht="8.1" hidden="1" customHeight="1" x14ac:dyDescent="0.15"/>
    <row r="47" spans="1:6" ht="20.100000000000001" hidden="1" customHeight="1" x14ac:dyDescent="0.25">
      <c r="A47" s="25" t="s">
        <v>20</v>
      </c>
      <c r="B47" s="25"/>
      <c r="C47" s="25"/>
      <c r="D47" s="25"/>
      <c r="E47" s="25"/>
      <c r="F47" s="25"/>
    </row>
    <row r="48" spans="1:6" ht="18" hidden="1" customHeight="1" x14ac:dyDescent="0.25">
      <c r="A48" s="26" t="s">
        <v>21</v>
      </c>
      <c r="B48" s="26"/>
      <c r="C48" s="26"/>
      <c r="D48" s="26"/>
      <c r="E48" s="26"/>
      <c r="F48" s="26"/>
    </row>
    <row r="49" spans="1:6" hidden="1" x14ac:dyDescent="0.25">
      <c r="A49" s="7" t="s">
        <v>22</v>
      </c>
    </row>
    <row r="50" spans="1:6" hidden="1" x14ac:dyDescent="0.25">
      <c r="A50" s="8" t="s">
        <v>118</v>
      </c>
      <c r="B50" s="8" t="s">
        <v>119</v>
      </c>
      <c r="C50" s="8" t="s">
        <v>120</v>
      </c>
      <c r="D50" s="8" t="s">
        <v>121</v>
      </c>
      <c r="E50" s="8" t="s">
        <v>122</v>
      </c>
      <c r="F50" s="8" t="s">
        <v>123</v>
      </c>
    </row>
    <row r="51" spans="1:6" ht="18" hidden="1" customHeight="1" x14ac:dyDescent="0.25">
      <c r="A51" s="9">
        <v>44306</v>
      </c>
      <c r="B51" s="10">
        <v>3.43</v>
      </c>
      <c r="C51" s="11" t="s">
        <v>177</v>
      </c>
      <c r="D51" s="11" t="s">
        <v>178</v>
      </c>
      <c r="E51" s="11" t="s">
        <v>179</v>
      </c>
      <c r="F51" s="12" t="s">
        <v>127</v>
      </c>
    </row>
    <row r="52" spans="1:6" ht="18" hidden="1" customHeight="1" x14ac:dyDescent="0.25">
      <c r="A52" s="13">
        <v>44537</v>
      </c>
      <c r="B52" s="14">
        <v>2.56</v>
      </c>
      <c r="C52" s="15" t="s">
        <v>177</v>
      </c>
      <c r="D52" s="15" t="s">
        <v>178</v>
      </c>
      <c r="E52" s="15"/>
      <c r="F52" s="16" t="s">
        <v>130</v>
      </c>
    </row>
    <row r="53" spans="1:6" ht="27.95" hidden="1" customHeight="1" x14ac:dyDescent="0.25">
      <c r="A53" s="9">
        <v>45580</v>
      </c>
      <c r="B53" s="10">
        <v>2.36</v>
      </c>
      <c r="C53" s="11" t="s">
        <v>177</v>
      </c>
      <c r="D53" s="11" t="s">
        <v>178</v>
      </c>
      <c r="E53" s="11"/>
      <c r="F53" s="12" t="s">
        <v>132</v>
      </c>
    </row>
    <row r="54" spans="1:6" ht="18" hidden="1" customHeight="1" x14ac:dyDescent="0.25">
      <c r="A54" s="13">
        <v>45866</v>
      </c>
      <c r="B54" s="14">
        <v>1.92</v>
      </c>
      <c r="C54" s="15" t="s">
        <v>177</v>
      </c>
      <c r="D54" s="15" t="s">
        <v>178</v>
      </c>
      <c r="E54" s="15"/>
      <c r="F54" s="16" t="s">
        <v>134</v>
      </c>
    </row>
    <row r="55" spans="1:6" ht="18" hidden="1" customHeight="1" x14ac:dyDescent="0.25">
      <c r="A55" s="9">
        <v>46056</v>
      </c>
      <c r="B55" s="10">
        <v>1.42</v>
      </c>
      <c r="C55" s="11" t="s">
        <v>177</v>
      </c>
      <c r="D55" s="11" t="s">
        <v>178</v>
      </c>
      <c r="E55" s="11"/>
      <c r="F55" s="12" t="s">
        <v>136</v>
      </c>
    </row>
    <row r="56" spans="1:6" ht="27.95" hidden="1" customHeight="1" x14ac:dyDescent="0.25">
      <c r="A56" s="13">
        <v>46246</v>
      </c>
      <c r="B56" s="14">
        <v>1.5</v>
      </c>
      <c r="C56" s="15" t="s">
        <v>177</v>
      </c>
      <c r="D56" s="15" t="s">
        <v>178</v>
      </c>
      <c r="E56" s="15"/>
      <c r="F56" s="16" t="s">
        <v>144</v>
      </c>
    </row>
    <row r="57" spans="1:6" s="17" customFormat="1" ht="8.1" hidden="1" customHeight="1" x14ac:dyDescent="0.15"/>
    <row r="58" spans="1:6" ht="18" hidden="1" customHeight="1" x14ac:dyDescent="0.25">
      <c r="A58" s="26" t="s">
        <v>23</v>
      </c>
      <c r="B58" s="26"/>
      <c r="C58" s="26"/>
      <c r="D58" s="26"/>
      <c r="E58" s="26"/>
      <c r="F58" s="26"/>
    </row>
    <row r="59" spans="1:6" hidden="1" x14ac:dyDescent="0.25">
      <c r="A59" s="7" t="s">
        <v>24</v>
      </c>
    </row>
    <row r="60" spans="1:6" hidden="1" x14ac:dyDescent="0.25">
      <c r="A60" s="8" t="s">
        <v>118</v>
      </c>
      <c r="B60" s="8" t="s">
        <v>119</v>
      </c>
      <c r="C60" s="8" t="s">
        <v>120</v>
      </c>
      <c r="D60" s="8" t="s">
        <v>121</v>
      </c>
      <c r="E60" s="8" t="s">
        <v>122</v>
      </c>
      <c r="F60" s="8" t="s">
        <v>123</v>
      </c>
    </row>
    <row r="61" spans="1:6" ht="18" hidden="1" customHeight="1" x14ac:dyDescent="0.25">
      <c r="A61" s="9">
        <v>44306</v>
      </c>
      <c r="B61" s="10">
        <v>1.22</v>
      </c>
      <c r="C61" s="11" t="s">
        <v>180</v>
      </c>
      <c r="D61" s="11" t="s">
        <v>181</v>
      </c>
      <c r="E61" s="11" t="s">
        <v>179</v>
      </c>
      <c r="F61" s="12" t="s">
        <v>127</v>
      </c>
    </row>
    <row r="62" spans="1:6" ht="18" hidden="1" customHeight="1" x14ac:dyDescent="0.25">
      <c r="A62" s="13">
        <v>44537</v>
      </c>
      <c r="B62" s="14">
        <v>1.07</v>
      </c>
      <c r="C62" s="15" t="s">
        <v>180</v>
      </c>
      <c r="D62" s="15" t="s">
        <v>181</v>
      </c>
      <c r="E62" s="15"/>
      <c r="F62" s="16" t="s">
        <v>130</v>
      </c>
    </row>
    <row r="63" spans="1:6" ht="27.95" hidden="1" customHeight="1" x14ac:dyDescent="0.25">
      <c r="A63" s="9">
        <v>45580</v>
      </c>
      <c r="B63" s="10">
        <v>1.1499999999999999</v>
      </c>
      <c r="C63" s="11" t="s">
        <v>180</v>
      </c>
      <c r="D63" s="11" t="s">
        <v>181</v>
      </c>
      <c r="E63" s="11"/>
      <c r="F63" s="12" t="s">
        <v>132</v>
      </c>
    </row>
    <row r="64" spans="1:6" ht="18" hidden="1" customHeight="1" x14ac:dyDescent="0.25">
      <c r="A64" s="13">
        <v>45866</v>
      </c>
      <c r="B64" s="14">
        <v>1.2</v>
      </c>
      <c r="C64" s="15" t="s">
        <v>180</v>
      </c>
      <c r="D64" s="15" t="s">
        <v>181</v>
      </c>
      <c r="E64" s="15"/>
      <c r="F64" s="16" t="s">
        <v>134</v>
      </c>
    </row>
    <row r="65" spans="1:6" ht="18" hidden="1" customHeight="1" x14ac:dyDescent="0.25">
      <c r="A65" s="9">
        <v>46056</v>
      </c>
      <c r="B65" s="10">
        <v>1.29</v>
      </c>
      <c r="C65" s="11" t="s">
        <v>180</v>
      </c>
      <c r="D65" s="11" t="s">
        <v>181</v>
      </c>
      <c r="E65" s="11"/>
      <c r="F65" s="12" t="s">
        <v>136</v>
      </c>
    </row>
    <row r="66" spans="1:6" ht="27.95" hidden="1" customHeight="1" x14ac:dyDescent="0.25">
      <c r="A66" s="13">
        <v>46246</v>
      </c>
      <c r="B66" s="14">
        <v>1.23</v>
      </c>
      <c r="C66" s="15" t="s">
        <v>180</v>
      </c>
      <c r="D66" s="15" t="s">
        <v>182</v>
      </c>
      <c r="E66" s="15"/>
      <c r="F66" s="16" t="s">
        <v>144</v>
      </c>
    </row>
    <row r="67" spans="1:6" s="17" customFormat="1" ht="8.1" hidden="1" customHeight="1" x14ac:dyDescent="0.15"/>
    <row r="68" spans="1:6" ht="20.100000000000001" hidden="1" customHeight="1" x14ac:dyDescent="0.25">
      <c r="A68" s="25" t="s">
        <v>25</v>
      </c>
      <c r="B68" s="25"/>
      <c r="C68" s="25"/>
      <c r="D68" s="25"/>
      <c r="E68" s="25"/>
      <c r="F68" s="25"/>
    </row>
    <row r="69" spans="1:6" ht="18" hidden="1" customHeight="1" x14ac:dyDescent="0.25">
      <c r="A69" s="26" t="s">
        <v>26</v>
      </c>
      <c r="B69" s="26"/>
      <c r="C69" s="26"/>
      <c r="D69" s="26"/>
      <c r="E69" s="26"/>
      <c r="F69" s="26"/>
    </row>
    <row r="70" spans="1:6" hidden="1" x14ac:dyDescent="0.25">
      <c r="A70" s="7" t="s">
        <v>27</v>
      </c>
    </row>
    <row r="71" spans="1:6" hidden="1" x14ac:dyDescent="0.25">
      <c r="A71" s="8" t="s">
        <v>118</v>
      </c>
      <c r="B71" s="8" t="s">
        <v>119</v>
      </c>
      <c r="C71" s="8" t="s">
        <v>120</v>
      </c>
      <c r="D71" s="8" t="s">
        <v>121</v>
      </c>
      <c r="E71" s="8" t="s">
        <v>122</v>
      </c>
      <c r="F71" s="8" t="s">
        <v>123</v>
      </c>
    </row>
    <row r="72" spans="1:6" ht="27.95" hidden="1" customHeight="1" x14ac:dyDescent="0.25">
      <c r="A72" s="9">
        <v>44121</v>
      </c>
      <c r="B72" s="10">
        <v>12.3</v>
      </c>
      <c r="C72" s="11" t="s">
        <v>183</v>
      </c>
      <c r="D72" s="11" t="s">
        <v>184</v>
      </c>
      <c r="E72" s="11"/>
      <c r="F72" s="12" t="s">
        <v>185</v>
      </c>
    </row>
    <row r="73" spans="1:6" ht="18" hidden="1" customHeight="1" x14ac:dyDescent="0.25">
      <c r="A73" s="13">
        <v>44306</v>
      </c>
      <c r="B73" s="14">
        <v>14.7</v>
      </c>
      <c r="C73" s="15" t="s">
        <v>183</v>
      </c>
      <c r="D73" s="15" t="s">
        <v>186</v>
      </c>
      <c r="E73" s="15" t="s">
        <v>187</v>
      </c>
      <c r="F73" s="16" t="s">
        <v>127</v>
      </c>
    </row>
    <row r="74" spans="1:6" ht="18" hidden="1" customHeight="1" x14ac:dyDescent="0.25">
      <c r="A74" s="9">
        <v>44537</v>
      </c>
      <c r="B74" s="10">
        <v>13.9</v>
      </c>
      <c r="C74" s="11" t="s">
        <v>183</v>
      </c>
      <c r="D74" s="11" t="s">
        <v>188</v>
      </c>
      <c r="E74" s="11"/>
      <c r="F74" s="12" t="s">
        <v>130</v>
      </c>
    </row>
    <row r="75" spans="1:6" ht="18" hidden="1" customHeight="1" x14ac:dyDescent="0.25">
      <c r="A75" s="13">
        <v>44601</v>
      </c>
      <c r="B75" s="14">
        <v>12.7</v>
      </c>
      <c r="C75" s="15" t="s">
        <v>183</v>
      </c>
      <c r="D75" s="15" t="s">
        <v>186</v>
      </c>
      <c r="E75" s="15"/>
      <c r="F75" s="16" t="s">
        <v>189</v>
      </c>
    </row>
    <row r="76" spans="1:6" ht="18" hidden="1" customHeight="1" x14ac:dyDescent="0.25">
      <c r="A76" s="9">
        <v>44621</v>
      </c>
      <c r="B76" s="10">
        <v>12.5</v>
      </c>
      <c r="C76" s="11" t="s">
        <v>183</v>
      </c>
      <c r="D76" s="11" t="s">
        <v>186</v>
      </c>
      <c r="E76" s="11"/>
      <c r="F76" s="12" t="s">
        <v>190</v>
      </c>
    </row>
    <row r="77" spans="1:6" ht="18" hidden="1" customHeight="1" x14ac:dyDescent="0.25">
      <c r="A77" s="13">
        <v>44623</v>
      </c>
      <c r="B77" s="14">
        <v>12.3</v>
      </c>
      <c r="C77" s="15" t="s">
        <v>183</v>
      </c>
      <c r="D77" s="15" t="s">
        <v>186</v>
      </c>
      <c r="E77" s="15"/>
      <c r="F77" s="16" t="s">
        <v>191</v>
      </c>
    </row>
    <row r="78" spans="1:6" ht="27.95" hidden="1" customHeight="1" x14ac:dyDescent="0.25">
      <c r="A78" s="9">
        <v>45580</v>
      </c>
      <c r="B78" s="10">
        <v>12.2</v>
      </c>
      <c r="C78" s="11" t="s">
        <v>183</v>
      </c>
      <c r="D78" s="11" t="s">
        <v>192</v>
      </c>
      <c r="E78" s="11"/>
      <c r="F78" s="12" t="s">
        <v>132</v>
      </c>
    </row>
    <row r="79" spans="1:6" ht="18" hidden="1" customHeight="1" x14ac:dyDescent="0.25">
      <c r="A79" s="13">
        <v>45805</v>
      </c>
      <c r="B79" s="14">
        <v>12.7</v>
      </c>
      <c r="C79" s="15" t="s">
        <v>183</v>
      </c>
      <c r="D79" s="15" t="s">
        <v>192</v>
      </c>
      <c r="E79" s="15"/>
      <c r="F79" s="16" t="s">
        <v>193</v>
      </c>
    </row>
    <row r="80" spans="1:6" ht="18" hidden="1" customHeight="1" x14ac:dyDescent="0.25">
      <c r="A80" s="9">
        <v>45866</v>
      </c>
      <c r="B80" s="10">
        <v>13.2</v>
      </c>
      <c r="C80" s="11" t="s">
        <v>183</v>
      </c>
      <c r="D80" s="11" t="s">
        <v>192</v>
      </c>
      <c r="E80" s="11"/>
      <c r="F80" s="12" t="s">
        <v>134</v>
      </c>
    </row>
    <row r="81" spans="1:6" ht="18" hidden="1" customHeight="1" x14ac:dyDescent="0.25">
      <c r="A81" s="13">
        <v>46056</v>
      </c>
      <c r="B81" s="14">
        <v>12.7</v>
      </c>
      <c r="C81" s="15" t="s">
        <v>183</v>
      </c>
      <c r="D81" s="15" t="s">
        <v>192</v>
      </c>
      <c r="E81" s="15"/>
      <c r="F81" s="16" t="s">
        <v>136</v>
      </c>
    </row>
    <row r="82" spans="1:6" ht="18" hidden="1" customHeight="1" x14ac:dyDescent="0.25">
      <c r="A82" s="9">
        <v>46232</v>
      </c>
      <c r="B82" s="10">
        <v>13</v>
      </c>
      <c r="C82" s="11" t="s">
        <v>183</v>
      </c>
      <c r="D82" s="11" t="s">
        <v>192</v>
      </c>
      <c r="E82" s="11"/>
      <c r="F82" s="12" t="s">
        <v>194</v>
      </c>
    </row>
    <row r="83" spans="1:6" ht="27.95" hidden="1" customHeight="1" x14ac:dyDescent="0.25">
      <c r="A83" s="13">
        <v>46246</v>
      </c>
      <c r="B83" s="14">
        <v>12.9</v>
      </c>
      <c r="C83" s="15" t="s">
        <v>183</v>
      </c>
      <c r="D83" s="15" t="s">
        <v>192</v>
      </c>
      <c r="E83" s="15"/>
      <c r="F83" s="16" t="s">
        <v>144</v>
      </c>
    </row>
    <row r="84" spans="1:6" s="17" customFormat="1" ht="8.1" hidden="1" customHeight="1" x14ac:dyDescent="0.15"/>
    <row r="85" spans="1:6" ht="18" hidden="1" customHeight="1" x14ac:dyDescent="0.25">
      <c r="A85" s="26" t="s">
        <v>28</v>
      </c>
      <c r="B85" s="26"/>
      <c r="C85" s="26"/>
      <c r="D85" s="26"/>
      <c r="E85" s="26"/>
      <c r="F85" s="26"/>
    </row>
    <row r="86" spans="1:6" hidden="1" x14ac:dyDescent="0.25">
      <c r="A86" s="7" t="s">
        <v>29</v>
      </c>
    </row>
    <row r="87" spans="1:6" hidden="1" x14ac:dyDescent="0.25">
      <c r="A87" s="8" t="s">
        <v>118</v>
      </c>
      <c r="B87" s="8" t="s">
        <v>119</v>
      </c>
      <c r="C87" s="8" t="s">
        <v>120</v>
      </c>
      <c r="D87" s="8" t="s">
        <v>121</v>
      </c>
      <c r="E87" s="8" t="s">
        <v>122</v>
      </c>
      <c r="F87" s="8" t="s">
        <v>123</v>
      </c>
    </row>
    <row r="88" spans="1:6" ht="27.95" hidden="1" customHeight="1" x14ac:dyDescent="0.25">
      <c r="A88" s="9">
        <v>44121</v>
      </c>
      <c r="B88" s="10">
        <v>4.7300000000000004</v>
      </c>
      <c r="C88" s="11" t="s">
        <v>195</v>
      </c>
      <c r="D88" s="11" t="s">
        <v>196</v>
      </c>
      <c r="E88" s="11" t="s">
        <v>197</v>
      </c>
      <c r="F88" s="12" t="s">
        <v>185</v>
      </c>
    </row>
    <row r="89" spans="1:6" ht="18" hidden="1" customHeight="1" x14ac:dyDescent="0.25">
      <c r="A89" s="13">
        <v>44306</v>
      </c>
      <c r="B89" s="14">
        <v>5.35</v>
      </c>
      <c r="C89" s="15" t="s">
        <v>195</v>
      </c>
      <c r="D89" s="15" t="s">
        <v>198</v>
      </c>
      <c r="E89" s="15"/>
      <c r="F89" s="16" t="s">
        <v>127</v>
      </c>
    </row>
    <row r="90" spans="1:6" ht="18" hidden="1" customHeight="1" x14ac:dyDescent="0.25">
      <c r="A90" s="9">
        <v>44537</v>
      </c>
      <c r="B90" s="10">
        <v>5.07</v>
      </c>
      <c r="C90" s="11" t="s">
        <v>195</v>
      </c>
      <c r="D90" s="11" t="s">
        <v>199</v>
      </c>
      <c r="E90" s="11"/>
      <c r="F90" s="12" t="s">
        <v>130</v>
      </c>
    </row>
    <row r="91" spans="1:6" ht="18" hidden="1" customHeight="1" x14ac:dyDescent="0.25">
      <c r="A91" s="13">
        <v>44601</v>
      </c>
      <c r="B91" s="14">
        <v>4.5199999999999996</v>
      </c>
      <c r="C91" s="15" t="s">
        <v>195</v>
      </c>
      <c r="D91" s="15" t="s">
        <v>200</v>
      </c>
      <c r="E91" s="15"/>
      <c r="F91" s="16" t="s">
        <v>189</v>
      </c>
    </row>
    <row r="92" spans="1:6" ht="18" hidden="1" customHeight="1" x14ac:dyDescent="0.25">
      <c r="A92" s="9">
        <v>44621</v>
      </c>
      <c r="B92" s="10">
        <v>4.5</v>
      </c>
      <c r="C92" s="11" t="s">
        <v>195</v>
      </c>
      <c r="D92" s="11" t="s">
        <v>200</v>
      </c>
      <c r="E92" s="11"/>
      <c r="F92" s="12" t="s">
        <v>190</v>
      </c>
    </row>
    <row r="93" spans="1:6" ht="18" hidden="1" customHeight="1" x14ac:dyDescent="0.25">
      <c r="A93" s="13">
        <v>44623</v>
      </c>
      <c r="B93" s="14">
        <v>4.4800000000000004</v>
      </c>
      <c r="C93" s="15" t="s">
        <v>195</v>
      </c>
      <c r="D93" s="15" t="s">
        <v>200</v>
      </c>
      <c r="E93" s="15"/>
      <c r="F93" s="16" t="s">
        <v>191</v>
      </c>
    </row>
    <row r="94" spans="1:6" ht="27.95" hidden="1" customHeight="1" x14ac:dyDescent="0.25">
      <c r="A94" s="9">
        <v>45580</v>
      </c>
      <c r="B94" s="10">
        <v>4.95</v>
      </c>
      <c r="C94" s="11" t="s">
        <v>195</v>
      </c>
      <c r="D94" s="11" t="s">
        <v>201</v>
      </c>
      <c r="E94" s="11"/>
      <c r="F94" s="12" t="s">
        <v>132</v>
      </c>
    </row>
    <row r="95" spans="1:6" ht="18" hidden="1" customHeight="1" x14ac:dyDescent="0.25">
      <c r="A95" s="13">
        <v>45805</v>
      </c>
      <c r="B95" s="14">
        <v>4.9000000000000004</v>
      </c>
      <c r="C95" s="15" t="s">
        <v>195</v>
      </c>
      <c r="D95" s="15" t="s">
        <v>201</v>
      </c>
      <c r="E95" s="15"/>
      <c r="F95" s="16" t="s">
        <v>193</v>
      </c>
    </row>
    <row r="96" spans="1:6" ht="18" hidden="1" customHeight="1" x14ac:dyDescent="0.25">
      <c r="A96" s="9">
        <v>45866</v>
      </c>
      <c r="B96" s="10">
        <v>4.95</v>
      </c>
      <c r="C96" s="11" t="s">
        <v>195</v>
      </c>
      <c r="D96" s="11" t="s">
        <v>201</v>
      </c>
      <c r="E96" s="11"/>
      <c r="F96" s="12" t="s">
        <v>134</v>
      </c>
    </row>
    <row r="97" spans="1:6" ht="18" hidden="1" customHeight="1" x14ac:dyDescent="0.25">
      <c r="A97" s="13">
        <v>46056</v>
      </c>
      <c r="B97" s="14">
        <v>4.7</v>
      </c>
      <c r="C97" s="15" t="s">
        <v>195</v>
      </c>
      <c r="D97" s="15" t="s">
        <v>201</v>
      </c>
      <c r="E97" s="15"/>
      <c r="F97" s="16" t="s">
        <v>136</v>
      </c>
    </row>
    <row r="98" spans="1:6" ht="18" hidden="1" customHeight="1" x14ac:dyDescent="0.25">
      <c r="A98" s="9">
        <v>46232</v>
      </c>
      <c r="B98" s="10">
        <v>4.78</v>
      </c>
      <c r="C98" s="11" t="s">
        <v>195</v>
      </c>
      <c r="D98" s="11" t="s">
        <v>201</v>
      </c>
      <c r="E98" s="11"/>
      <c r="F98" s="12" t="s">
        <v>194</v>
      </c>
    </row>
    <row r="99" spans="1:6" ht="27.95" hidden="1" customHeight="1" x14ac:dyDescent="0.25">
      <c r="A99" s="13">
        <v>46246</v>
      </c>
      <c r="B99" s="14">
        <v>4.8600000000000003</v>
      </c>
      <c r="C99" s="15" t="s">
        <v>195</v>
      </c>
      <c r="D99" s="15" t="s">
        <v>201</v>
      </c>
      <c r="E99" s="15"/>
      <c r="F99" s="16" t="s">
        <v>144</v>
      </c>
    </row>
    <row r="100" spans="1:6" s="17" customFormat="1" ht="8.1" hidden="1" customHeight="1" x14ac:dyDescent="0.15"/>
    <row r="101" spans="1:6" ht="18" hidden="1" customHeight="1" x14ac:dyDescent="0.25">
      <c r="A101" s="26" t="s">
        <v>30</v>
      </c>
      <c r="B101" s="26"/>
      <c r="C101" s="26"/>
      <c r="D101" s="26"/>
      <c r="E101" s="26"/>
      <c r="F101" s="26"/>
    </row>
    <row r="102" spans="1:6" hidden="1" x14ac:dyDescent="0.25">
      <c r="A102" s="7" t="s">
        <v>31</v>
      </c>
    </row>
    <row r="103" spans="1:6" hidden="1" x14ac:dyDescent="0.25">
      <c r="A103" s="8" t="s">
        <v>118</v>
      </c>
      <c r="B103" s="8" t="s">
        <v>119</v>
      </c>
      <c r="C103" s="8" t="s">
        <v>120</v>
      </c>
      <c r="D103" s="8" t="s">
        <v>121</v>
      </c>
      <c r="E103" s="8" t="s">
        <v>122</v>
      </c>
      <c r="F103" s="8" t="s">
        <v>123</v>
      </c>
    </row>
    <row r="104" spans="1:6" ht="27.95" hidden="1" customHeight="1" x14ac:dyDescent="0.25">
      <c r="A104" s="9">
        <v>44121</v>
      </c>
      <c r="B104" s="10">
        <v>37.5</v>
      </c>
      <c r="C104" s="11" t="s">
        <v>202</v>
      </c>
      <c r="D104" s="11" t="s">
        <v>203</v>
      </c>
      <c r="E104" s="11"/>
      <c r="F104" s="12" t="s">
        <v>185</v>
      </c>
    </row>
    <row r="105" spans="1:6" ht="18" hidden="1" customHeight="1" x14ac:dyDescent="0.25">
      <c r="A105" s="13">
        <v>44306</v>
      </c>
      <c r="B105" s="14">
        <v>44.2</v>
      </c>
      <c r="C105" s="15" t="s">
        <v>202</v>
      </c>
      <c r="D105" s="15" t="s">
        <v>204</v>
      </c>
      <c r="E105" s="15" t="s">
        <v>197</v>
      </c>
      <c r="F105" s="16" t="s">
        <v>127</v>
      </c>
    </row>
    <row r="106" spans="1:6" ht="18" hidden="1" customHeight="1" x14ac:dyDescent="0.25">
      <c r="A106" s="9">
        <v>44537</v>
      </c>
      <c r="B106" s="10">
        <v>41</v>
      </c>
      <c r="C106" s="11" t="s">
        <v>202</v>
      </c>
      <c r="D106" s="11" t="s">
        <v>205</v>
      </c>
      <c r="E106" s="11"/>
      <c r="F106" s="12" t="s">
        <v>130</v>
      </c>
    </row>
    <row r="107" spans="1:6" ht="18" hidden="1" customHeight="1" x14ac:dyDescent="0.25">
      <c r="A107" s="13">
        <v>44601</v>
      </c>
      <c r="B107" s="14">
        <v>36.700000000000003</v>
      </c>
      <c r="C107" s="15" t="s">
        <v>202</v>
      </c>
      <c r="D107" s="15" t="s">
        <v>206</v>
      </c>
      <c r="E107" s="15"/>
      <c r="F107" s="16" t="s">
        <v>189</v>
      </c>
    </row>
    <row r="108" spans="1:6" ht="18" hidden="1" customHeight="1" x14ac:dyDescent="0.25">
      <c r="A108" s="9">
        <v>44621</v>
      </c>
      <c r="B108" s="10">
        <v>35.9</v>
      </c>
      <c r="C108" s="11" t="s">
        <v>202</v>
      </c>
      <c r="D108" s="11" t="s">
        <v>206</v>
      </c>
      <c r="E108" s="11"/>
      <c r="F108" s="12" t="s">
        <v>190</v>
      </c>
    </row>
    <row r="109" spans="1:6" ht="18" hidden="1" customHeight="1" x14ac:dyDescent="0.25">
      <c r="A109" s="13">
        <v>44623</v>
      </c>
      <c r="B109" s="14">
        <v>35.9</v>
      </c>
      <c r="C109" s="15" t="s">
        <v>202</v>
      </c>
      <c r="D109" s="15" t="s">
        <v>206</v>
      </c>
      <c r="E109" s="15"/>
      <c r="F109" s="16" t="s">
        <v>191</v>
      </c>
    </row>
    <row r="110" spans="1:6" ht="27.95" hidden="1" customHeight="1" x14ac:dyDescent="0.25">
      <c r="A110" s="9">
        <v>45580</v>
      </c>
      <c r="B110" s="10">
        <v>40.700000000000003</v>
      </c>
      <c r="C110" s="11" t="s">
        <v>202</v>
      </c>
      <c r="D110" s="11" t="s">
        <v>207</v>
      </c>
      <c r="E110" s="11" t="s">
        <v>197</v>
      </c>
      <c r="F110" s="12" t="s">
        <v>132</v>
      </c>
    </row>
    <row r="111" spans="1:6" ht="18" hidden="1" customHeight="1" x14ac:dyDescent="0.25">
      <c r="A111" s="13">
        <v>45805</v>
      </c>
      <c r="B111" s="14">
        <v>38.799999999999997</v>
      </c>
      <c r="C111" s="15" t="s">
        <v>202</v>
      </c>
      <c r="D111" s="15" t="s">
        <v>207</v>
      </c>
      <c r="E111" s="15"/>
      <c r="F111" s="16" t="s">
        <v>193</v>
      </c>
    </row>
    <row r="112" spans="1:6" ht="18" hidden="1" customHeight="1" x14ac:dyDescent="0.25">
      <c r="A112" s="9">
        <v>45866</v>
      </c>
      <c r="B112" s="10">
        <v>40.5</v>
      </c>
      <c r="C112" s="11" t="s">
        <v>202</v>
      </c>
      <c r="D112" s="11" t="s">
        <v>207</v>
      </c>
      <c r="E112" s="11" t="s">
        <v>197</v>
      </c>
      <c r="F112" s="12" t="s">
        <v>134</v>
      </c>
    </row>
    <row r="113" spans="1:6" ht="18" hidden="1" customHeight="1" x14ac:dyDescent="0.25">
      <c r="A113" s="13">
        <v>46056</v>
      </c>
      <c r="B113" s="14">
        <v>38</v>
      </c>
      <c r="C113" s="15" t="s">
        <v>202</v>
      </c>
      <c r="D113" s="15" t="s">
        <v>207</v>
      </c>
      <c r="E113" s="15"/>
      <c r="F113" s="16" t="s">
        <v>136</v>
      </c>
    </row>
    <row r="114" spans="1:6" ht="18" hidden="1" customHeight="1" x14ac:dyDescent="0.25">
      <c r="A114" s="9">
        <v>46232</v>
      </c>
      <c r="B114" s="10">
        <v>38.4</v>
      </c>
      <c r="C114" s="11" t="s">
        <v>202</v>
      </c>
      <c r="D114" s="11" t="s">
        <v>207</v>
      </c>
      <c r="E114" s="11"/>
      <c r="F114" s="12" t="s">
        <v>194</v>
      </c>
    </row>
    <row r="115" spans="1:6" ht="27.95" hidden="1" customHeight="1" x14ac:dyDescent="0.25">
      <c r="A115" s="13">
        <v>46246</v>
      </c>
      <c r="B115" s="14">
        <v>38.5</v>
      </c>
      <c r="C115" s="15" t="s">
        <v>202</v>
      </c>
      <c r="D115" s="15" t="s">
        <v>207</v>
      </c>
      <c r="E115" s="15"/>
      <c r="F115" s="16" t="s">
        <v>144</v>
      </c>
    </row>
    <row r="116" spans="1:6" s="17" customFormat="1" ht="8.1" hidden="1" customHeight="1" x14ac:dyDescent="0.15"/>
    <row r="117" spans="1:6" ht="18" hidden="1" customHeight="1" x14ac:dyDescent="0.25">
      <c r="A117" s="26" t="s">
        <v>32</v>
      </c>
      <c r="B117" s="26"/>
      <c r="C117" s="26"/>
      <c r="D117" s="26"/>
      <c r="E117" s="26"/>
      <c r="F117" s="26"/>
    </row>
    <row r="118" spans="1:6" hidden="1" x14ac:dyDescent="0.25">
      <c r="A118" s="7" t="s">
        <v>33</v>
      </c>
    </row>
    <row r="119" spans="1:6" hidden="1" x14ac:dyDescent="0.25">
      <c r="A119" s="8" t="s">
        <v>118</v>
      </c>
      <c r="B119" s="8" t="s">
        <v>119</v>
      </c>
      <c r="C119" s="8" t="s">
        <v>120</v>
      </c>
      <c r="D119" s="8" t="s">
        <v>121</v>
      </c>
      <c r="E119" s="8" t="s">
        <v>122</v>
      </c>
      <c r="F119" s="8" t="s">
        <v>123</v>
      </c>
    </row>
    <row r="120" spans="1:6" ht="27.95" hidden="1" customHeight="1" x14ac:dyDescent="0.25">
      <c r="A120" s="9">
        <v>44121</v>
      </c>
      <c r="B120" s="10">
        <v>79.3</v>
      </c>
      <c r="C120" s="11" t="s">
        <v>208</v>
      </c>
      <c r="D120" s="11" t="s">
        <v>209</v>
      </c>
      <c r="E120" s="11"/>
      <c r="F120" s="12" t="s">
        <v>185</v>
      </c>
    </row>
    <row r="121" spans="1:6" ht="18" hidden="1" customHeight="1" x14ac:dyDescent="0.25">
      <c r="A121" s="13">
        <v>44306</v>
      </c>
      <c r="B121" s="14">
        <v>82.6</v>
      </c>
      <c r="C121" s="15" t="s">
        <v>208</v>
      </c>
      <c r="D121" s="15" t="s">
        <v>210</v>
      </c>
      <c r="E121" s="15"/>
      <c r="F121" s="16" t="s">
        <v>127</v>
      </c>
    </row>
    <row r="122" spans="1:6" ht="18" hidden="1" customHeight="1" x14ac:dyDescent="0.25">
      <c r="A122" s="9">
        <v>44537</v>
      </c>
      <c r="B122" s="10">
        <v>80.900000000000006</v>
      </c>
      <c r="C122" s="11" t="s">
        <v>208</v>
      </c>
      <c r="D122" s="11" t="s">
        <v>211</v>
      </c>
      <c r="E122" s="11"/>
      <c r="F122" s="12" t="s">
        <v>130</v>
      </c>
    </row>
    <row r="123" spans="1:6" ht="18" hidden="1" customHeight="1" x14ac:dyDescent="0.25">
      <c r="A123" s="13">
        <v>44601</v>
      </c>
      <c r="B123" s="14">
        <v>81</v>
      </c>
      <c r="C123" s="15" t="s">
        <v>208</v>
      </c>
      <c r="D123" s="15" t="s">
        <v>212</v>
      </c>
      <c r="E123" s="15"/>
      <c r="F123" s="16" t="s">
        <v>189</v>
      </c>
    </row>
    <row r="124" spans="1:6" ht="18" hidden="1" customHeight="1" x14ac:dyDescent="0.25">
      <c r="A124" s="9">
        <v>44621</v>
      </c>
      <c r="B124" s="10">
        <v>80</v>
      </c>
      <c r="C124" s="11" t="s">
        <v>208</v>
      </c>
      <c r="D124" s="11" t="s">
        <v>212</v>
      </c>
      <c r="E124" s="11"/>
      <c r="F124" s="12" t="s">
        <v>190</v>
      </c>
    </row>
    <row r="125" spans="1:6" ht="18" hidden="1" customHeight="1" x14ac:dyDescent="0.25">
      <c r="A125" s="13">
        <v>44623</v>
      </c>
      <c r="B125" s="14">
        <v>80</v>
      </c>
      <c r="C125" s="15" t="s">
        <v>208</v>
      </c>
      <c r="D125" s="15" t="s">
        <v>212</v>
      </c>
      <c r="E125" s="15"/>
      <c r="F125" s="16" t="s">
        <v>191</v>
      </c>
    </row>
    <row r="126" spans="1:6" ht="27.95" hidden="1" customHeight="1" x14ac:dyDescent="0.25">
      <c r="A126" s="9">
        <v>45580</v>
      </c>
      <c r="B126" s="10">
        <v>82.2</v>
      </c>
      <c r="C126" s="11" t="s">
        <v>208</v>
      </c>
      <c r="D126" s="11" t="s">
        <v>213</v>
      </c>
      <c r="E126" s="11"/>
      <c r="F126" s="12" t="s">
        <v>132</v>
      </c>
    </row>
    <row r="127" spans="1:6" ht="18" hidden="1" customHeight="1" x14ac:dyDescent="0.25">
      <c r="A127" s="13">
        <v>45805</v>
      </c>
      <c r="B127" s="14">
        <v>79.2</v>
      </c>
      <c r="C127" s="15" t="s">
        <v>208</v>
      </c>
      <c r="D127" s="15" t="s">
        <v>213</v>
      </c>
      <c r="E127" s="15"/>
      <c r="F127" s="16" t="s">
        <v>193</v>
      </c>
    </row>
    <row r="128" spans="1:6" ht="18" hidden="1" customHeight="1" x14ac:dyDescent="0.25">
      <c r="A128" s="9">
        <v>45866</v>
      </c>
      <c r="B128" s="10">
        <v>81.8</v>
      </c>
      <c r="C128" s="11" t="s">
        <v>208</v>
      </c>
      <c r="D128" s="11" t="s">
        <v>213</v>
      </c>
      <c r="E128" s="11"/>
      <c r="F128" s="12" t="s">
        <v>134</v>
      </c>
    </row>
    <row r="129" spans="1:6" ht="18" hidden="1" customHeight="1" x14ac:dyDescent="0.25">
      <c r="A129" s="13">
        <v>46056</v>
      </c>
      <c r="B129" s="14">
        <v>80.900000000000006</v>
      </c>
      <c r="C129" s="15" t="s">
        <v>208</v>
      </c>
      <c r="D129" s="15" t="s">
        <v>213</v>
      </c>
      <c r="E129" s="15"/>
      <c r="F129" s="16" t="s">
        <v>136</v>
      </c>
    </row>
    <row r="130" spans="1:6" ht="18" hidden="1" customHeight="1" x14ac:dyDescent="0.25">
      <c r="A130" s="9">
        <v>46232</v>
      </c>
      <c r="B130" s="10">
        <v>80.3</v>
      </c>
      <c r="C130" s="11" t="s">
        <v>208</v>
      </c>
      <c r="D130" s="11" t="s">
        <v>213</v>
      </c>
      <c r="E130" s="11"/>
      <c r="F130" s="12" t="s">
        <v>194</v>
      </c>
    </row>
    <row r="131" spans="1:6" ht="27.95" hidden="1" customHeight="1" x14ac:dyDescent="0.25">
      <c r="A131" s="13">
        <v>46246</v>
      </c>
      <c r="B131" s="14">
        <v>79.2</v>
      </c>
      <c r="C131" s="15" t="s">
        <v>208</v>
      </c>
      <c r="D131" s="15" t="s">
        <v>213</v>
      </c>
      <c r="E131" s="15"/>
      <c r="F131" s="16" t="s">
        <v>144</v>
      </c>
    </row>
    <row r="132" spans="1:6" s="17" customFormat="1" ht="8.1" hidden="1" customHeight="1" x14ac:dyDescent="0.15"/>
    <row r="133" spans="1:6" ht="18" hidden="1" customHeight="1" x14ac:dyDescent="0.25">
      <c r="A133" s="26" t="s">
        <v>34</v>
      </c>
      <c r="B133" s="26"/>
      <c r="C133" s="26"/>
      <c r="D133" s="26"/>
      <c r="E133" s="26"/>
      <c r="F133" s="26"/>
    </row>
    <row r="134" spans="1:6" hidden="1" x14ac:dyDescent="0.25">
      <c r="A134" s="7" t="s">
        <v>35</v>
      </c>
    </row>
    <row r="135" spans="1:6" hidden="1" x14ac:dyDescent="0.25">
      <c r="A135" s="8" t="s">
        <v>118</v>
      </c>
      <c r="B135" s="8" t="s">
        <v>214</v>
      </c>
      <c r="C135" s="8" t="s">
        <v>215</v>
      </c>
      <c r="D135" s="8" t="s">
        <v>216</v>
      </c>
      <c r="E135" s="8" t="s">
        <v>122</v>
      </c>
      <c r="F135" s="8" t="s">
        <v>123</v>
      </c>
    </row>
    <row r="136" spans="1:6" ht="27.95" hidden="1" customHeight="1" x14ac:dyDescent="0.25">
      <c r="A136" s="9">
        <v>44121</v>
      </c>
      <c r="B136" s="10">
        <v>26</v>
      </c>
      <c r="C136" s="10">
        <v>32.799999999999997</v>
      </c>
      <c r="D136" s="11" t="s">
        <v>217</v>
      </c>
      <c r="E136" s="11"/>
      <c r="F136" s="12" t="s">
        <v>185</v>
      </c>
    </row>
    <row r="137" spans="1:6" ht="18" hidden="1" customHeight="1" x14ac:dyDescent="0.25">
      <c r="A137" s="13">
        <v>44306</v>
      </c>
      <c r="B137" s="14">
        <v>27.5</v>
      </c>
      <c r="C137" s="14">
        <v>33.299999999999997</v>
      </c>
      <c r="D137" s="15" t="s">
        <v>218</v>
      </c>
      <c r="E137" s="15"/>
      <c r="F137" s="16" t="s">
        <v>127</v>
      </c>
    </row>
    <row r="138" spans="1:6" ht="18" hidden="1" customHeight="1" x14ac:dyDescent="0.25">
      <c r="A138" s="9">
        <v>44537</v>
      </c>
      <c r="B138" s="10">
        <v>27.4</v>
      </c>
      <c r="C138" s="10">
        <v>33.9</v>
      </c>
      <c r="D138" s="11" t="s">
        <v>219</v>
      </c>
      <c r="E138" s="11"/>
      <c r="F138" s="12" t="s">
        <v>130</v>
      </c>
    </row>
    <row r="139" spans="1:6" ht="18" hidden="1" customHeight="1" x14ac:dyDescent="0.25">
      <c r="A139" s="13">
        <v>44601</v>
      </c>
      <c r="B139" s="14">
        <v>28</v>
      </c>
      <c r="C139" s="14">
        <v>35</v>
      </c>
      <c r="D139" s="15" t="s">
        <v>220</v>
      </c>
      <c r="E139" s="15" t="s">
        <v>221</v>
      </c>
      <c r="F139" s="16" t="s">
        <v>189</v>
      </c>
    </row>
    <row r="140" spans="1:6" ht="18" hidden="1" customHeight="1" x14ac:dyDescent="0.25">
      <c r="A140" s="9">
        <v>44621</v>
      </c>
      <c r="B140" s="10">
        <v>28</v>
      </c>
      <c r="C140" s="10">
        <v>35</v>
      </c>
      <c r="D140" s="11" t="s">
        <v>220</v>
      </c>
      <c r="E140" s="11" t="s">
        <v>221</v>
      </c>
      <c r="F140" s="12" t="s">
        <v>190</v>
      </c>
    </row>
    <row r="141" spans="1:6" ht="18" hidden="1" customHeight="1" x14ac:dyDescent="0.25">
      <c r="A141" s="13">
        <v>44623</v>
      </c>
      <c r="B141" s="14">
        <v>27</v>
      </c>
      <c r="C141" s="14">
        <v>34</v>
      </c>
      <c r="D141" s="15" t="s">
        <v>220</v>
      </c>
      <c r="E141" s="15"/>
      <c r="F141" s="16" t="s">
        <v>191</v>
      </c>
    </row>
    <row r="142" spans="1:6" ht="27.95" hidden="1" customHeight="1" x14ac:dyDescent="0.25">
      <c r="A142" s="9">
        <v>45580</v>
      </c>
      <c r="B142" s="10">
        <v>24.6</v>
      </c>
      <c r="C142" s="10">
        <v>30</v>
      </c>
      <c r="D142" s="11" t="s">
        <v>222</v>
      </c>
      <c r="E142" s="11" t="s">
        <v>223</v>
      </c>
      <c r="F142" s="12" t="s">
        <v>132</v>
      </c>
    </row>
    <row r="143" spans="1:6" ht="18" hidden="1" customHeight="1" x14ac:dyDescent="0.25">
      <c r="A143" s="13">
        <v>45805</v>
      </c>
      <c r="B143" s="14">
        <v>25.9</v>
      </c>
      <c r="C143" s="14">
        <v>32.700000000000003</v>
      </c>
      <c r="D143" s="15" t="s">
        <v>222</v>
      </c>
      <c r="E143" s="15"/>
      <c r="F143" s="16" t="s">
        <v>193</v>
      </c>
    </row>
    <row r="144" spans="1:6" ht="18" hidden="1" customHeight="1" x14ac:dyDescent="0.25">
      <c r="A144" s="9">
        <v>45866</v>
      </c>
      <c r="B144" s="10">
        <v>26.7</v>
      </c>
      <c r="C144" s="10">
        <v>32.6</v>
      </c>
      <c r="D144" s="11" t="s">
        <v>222</v>
      </c>
      <c r="E144" s="11"/>
      <c r="F144" s="12" t="s">
        <v>134</v>
      </c>
    </row>
    <row r="145" spans="1:6" ht="18" hidden="1" customHeight="1" x14ac:dyDescent="0.25">
      <c r="A145" s="13">
        <v>46056</v>
      </c>
      <c r="B145" s="14">
        <v>27</v>
      </c>
      <c r="C145" s="14">
        <v>33.4</v>
      </c>
      <c r="D145" s="15" t="s">
        <v>222</v>
      </c>
      <c r="E145" s="15"/>
      <c r="F145" s="16" t="s">
        <v>136</v>
      </c>
    </row>
    <row r="146" spans="1:6" ht="18" hidden="1" customHeight="1" x14ac:dyDescent="0.25">
      <c r="A146" s="9">
        <v>46232</v>
      </c>
      <c r="B146" s="10">
        <v>27.2</v>
      </c>
      <c r="C146" s="10">
        <v>33.9</v>
      </c>
      <c r="D146" s="11" t="s">
        <v>222</v>
      </c>
      <c r="E146" s="11"/>
      <c r="F146" s="12" t="s">
        <v>194</v>
      </c>
    </row>
    <row r="147" spans="1:6" ht="27.95" hidden="1" customHeight="1" x14ac:dyDescent="0.25">
      <c r="A147" s="13">
        <v>46246</v>
      </c>
      <c r="B147" s="14">
        <v>26.5</v>
      </c>
      <c r="C147" s="14">
        <v>33.5</v>
      </c>
      <c r="D147" s="15" t="s">
        <v>222</v>
      </c>
      <c r="E147" s="15"/>
      <c r="F147" s="16" t="s">
        <v>144</v>
      </c>
    </row>
    <row r="148" spans="1:6" s="17" customFormat="1" ht="8.1" hidden="1" customHeight="1" x14ac:dyDescent="0.15"/>
    <row r="149" spans="1:6" ht="18" hidden="1" customHeight="1" x14ac:dyDescent="0.25">
      <c r="A149" s="26" t="s">
        <v>36</v>
      </c>
      <c r="B149" s="26"/>
      <c r="C149" s="26"/>
      <c r="D149" s="26"/>
      <c r="E149" s="26"/>
      <c r="F149" s="26"/>
    </row>
    <row r="150" spans="1:6" hidden="1" x14ac:dyDescent="0.25">
      <c r="A150" s="7" t="s">
        <v>37</v>
      </c>
    </row>
    <row r="151" spans="1:6" hidden="1" x14ac:dyDescent="0.25">
      <c r="A151" s="8" t="s">
        <v>118</v>
      </c>
      <c r="B151" s="8" t="s">
        <v>119</v>
      </c>
      <c r="C151" s="8" t="s">
        <v>120</v>
      </c>
      <c r="D151" s="8" t="s">
        <v>121</v>
      </c>
      <c r="E151" s="8" t="s">
        <v>122</v>
      </c>
      <c r="F151" s="8" t="s">
        <v>123</v>
      </c>
    </row>
    <row r="152" spans="1:6" ht="27.95" hidden="1" customHeight="1" x14ac:dyDescent="0.25">
      <c r="A152" s="9">
        <v>44121</v>
      </c>
      <c r="B152" s="10">
        <v>13.7</v>
      </c>
      <c r="C152" s="11" t="s">
        <v>202</v>
      </c>
      <c r="D152" s="11" t="s">
        <v>224</v>
      </c>
      <c r="E152" s="11"/>
      <c r="F152" s="12" t="s">
        <v>185</v>
      </c>
    </row>
    <row r="153" spans="1:6" ht="18" hidden="1" customHeight="1" x14ac:dyDescent="0.25">
      <c r="A153" s="13">
        <v>44306</v>
      </c>
      <c r="B153" s="14">
        <v>13.5</v>
      </c>
      <c r="C153" s="15" t="s">
        <v>202</v>
      </c>
      <c r="D153" s="15" t="s">
        <v>224</v>
      </c>
      <c r="E153" s="15"/>
      <c r="F153" s="16" t="s">
        <v>127</v>
      </c>
    </row>
    <row r="154" spans="1:6" ht="18" hidden="1" customHeight="1" x14ac:dyDescent="0.25">
      <c r="A154" s="9">
        <v>44537</v>
      </c>
      <c r="B154" s="10">
        <v>13.5</v>
      </c>
      <c r="C154" s="11" t="s">
        <v>202</v>
      </c>
      <c r="D154" s="11" t="s">
        <v>224</v>
      </c>
      <c r="E154" s="11"/>
      <c r="F154" s="12" t="s">
        <v>130</v>
      </c>
    </row>
    <row r="155" spans="1:6" ht="18" hidden="1" customHeight="1" x14ac:dyDescent="0.25">
      <c r="A155" s="13">
        <v>44601</v>
      </c>
      <c r="B155" s="14">
        <v>12.4</v>
      </c>
      <c r="C155" s="15" t="s">
        <v>202</v>
      </c>
      <c r="D155" s="15" t="s">
        <v>225</v>
      </c>
      <c r="E155" s="15"/>
      <c r="F155" s="16" t="s">
        <v>189</v>
      </c>
    </row>
    <row r="156" spans="1:6" ht="18" hidden="1" customHeight="1" x14ac:dyDescent="0.25">
      <c r="A156" s="9">
        <v>44621</v>
      </c>
      <c r="B156" s="10">
        <v>12.1</v>
      </c>
      <c r="C156" s="11" t="s">
        <v>202</v>
      </c>
      <c r="D156" s="11" t="s">
        <v>225</v>
      </c>
      <c r="E156" s="11"/>
      <c r="F156" s="12" t="s">
        <v>190</v>
      </c>
    </row>
    <row r="157" spans="1:6" ht="18" hidden="1" customHeight="1" x14ac:dyDescent="0.25">
      <c r="A157" s="13">
        <v>44623</v>
      </c>
      <c r="B157" s="14">
        <v>12.1</v>
      </c>
      <c r="C157" s="15" t="s">
        <v>202</v>
      </c>
      <c r="D157" s="15" t="s">
        <v>225</v>
      </c>
      <c r="E157" s="15"/>
      <c r="F157" s="16" t="s">
        <v>191</v>
      </c>
    </row>
    <row r="158" spans="1:6" ht="27.95" hidden="1" customHeight="1" x14ac:dyDescent="0.25">
      <c r="A158" s="9">
        <v>45580</v>
      </c>
      <c r="B158" s="10">
        <v>14.6</v>
      </c>
      <c r="C158" s="11" t="s">
        <v>202</v>
      </c>
      <c r="D158" s="11" t="s">
        <v>226</v>
      </c>
      <c r="E158" s="11" t="s">
        <v>227</v>
      </c>
      <c r="F158" s="12" t="s">
        <v>132</v>
      </c>
    </row>
    <row r="159" spans="1:6" ht="18" hidden="1" customHeight="1" x14ac:dyDescent="0.25">
      <c r="A159" s="13">
        <v>45805</v>
      </c>
      <c r="B159" s="14">
        <v>14.1</v>
      </c>
      <c r="C159" s="15" t="s">
        <v>202</v>
      </c>
      <c r="D159" s="15" t="s">
        <v>226</v>
      </c>
      <c r="E159" s="15"/>
      <c r="F159" s="16" t="s">
        <v>193</v>
      </c>
    </row>
    <row r="160" spans="1:6" ht="18" hidden="1" customHeight="1" x14ac:dyDescent="0.25">
      <c r="A160" s="9">
        <v>45866</v>
      </c>
      <c r="B160" s="10">
        <v>13.1</v>
      </c>
      <c r="C160" s="11" t="s">
        <v>202</v>
      </c>
      <c r="D160" s="11" t="s">
        <v>226</v>
      </c>
      <c r="E160" s="11"/>
      <c r="F160" s="12" t="s">
        <v>134</v>
      </c>
    </row>
    <row r="161" spans="1:6" ht="18" hidden="1" customHeight="1" x14ac:dyDescent="0.25">
      <c r="A161" s="13">
        <v>46056</v>
      </c>
      <c r="B161" s="14">
        <v>13.1</v>
      </c>
      <c r="C161" s="15" t="s">
        <v>202</v>
      </c>
      <c r="D161" s="15" t="s">
        <v>226</v>
      </c>
      <c r="E161" s="15"/>
      <c r="F161" s="16" t="s">
        <v>136</v>
      </c>
    </row>
    <row r="162" spans="1:6" ht="18" hidden="1" customHeight="1" x14ac:dyDescent="0.25">
      <c r="A162" s="9">
        <v>46232</v>
      </c>
      <c r="B162" s="10">
        <v>13.2</v>
      </c>
      <c r="C162" s="11" t="s">
        <v>202</v>
      </c>
      <c r="D162" s="11" t="s">
        <v>226</v>
      </c>
      <c r="E162" s="11"/>
      <c r="F162" s="12" t="s">
        <v>194</v>
      </c>
    </row>
    <row r="163" spans="1:6" ht="27.95" hidden="1" customHeight="1" x14ac:dyDescent="0.25">
      <c r="A163" s="13">
        <v>46246</v>
      </c>
      <c r="B163" s="14">
        <v>12.4</v>
      </c>
      <c r="C163" s="15" t="s">
        <v>202</v>
      </c>
      <c r="D163" s="15" t="s">
        <v>226</v>
      </c>
      <c r="E163" s="15"/>
      <c r="F163" s="16" t="s">
        <v>144</v>
      </c>
    </row>
    <row r="164" spans="1:6" s="17" customFormat="1" ht="8.1" hidden="1" customHeight="1" x14ac:dyDescent="0.15"/>
    <row r="165" spans="1:6" ht="18" hidden="1" customHeight="1" x14ac:dyDescent="0.25">
      <c r="A165" s="26" t="s">
        <v>38</v>
      </c>
      <c r="B165" s="26"/>
      <c r="C165" s="26"/>
      <c r="D165" s="26"/>
      <c r="E165" s="26"/>
      <c r="F165" s="26"/>
    </row>
    <row r="166" spans="1:6" hidden="1" x14ac:dyDescent="0.25">
      <c r="A166" s="7" t="s">
        <v>39</v>
      </c>
    </row>
    <row r="167" spans="1:6" hidden="1" x14ac:dyDescent="0.25">
      <c r="A167" s="8" t="s">
        <v>118</v>
      </c>
      <c r="B167" s="8" t="s">
        <v>119</v>
      </c>
      <c r="C167" s="8" t="s">
        <v>120</v>
      </c>
      <c r="D167" s="8" t="s">
        <v>121</v>
      </c>
      <c r="E167" s="8" t="s">
        <v>122</v>
      </c>
      <c r="F167" s="8" t="s">
        <v>123</v>
      </c>
    </row>
    <row r="168" spans="1:6" ht="27.95" hidden="1" customHeight="1" x14ac:dyDescent="0.25">
      <c r="A168" s="9">
        <v>44121</v>
      </c>
      <c r="B168" s="10">
        <v>6350</v>
      </c>
      <c r="C168" s="11" t="s">
        <v>228</v>
      </c>
      <c r="D168" s="11" t="s">
        <v>229</v>
      </c>
      <c r="E168" s="11"/>
      <c r="F168" s="12" t="s">
        <v>185</v>
      </c>
    </row>
    <row r="169" spans="1:6" ht="18" hidden="1" customHeight="1" x14ac:dyDescent="0.25">
      <c r="A169" s="13">
        <v>44306</v>
      </c>
      <c r="B169" s="14">
        <v>9590</v>
      </c>
      <c r="C169" s="15" t="s">
        <v>228</v>
      </c>
      <c r="D169" s="15" t="s">
        <v>230</v>
      </c>
      <c r="E169" s="15"/>
      <c r="F169" s="16" t="s">
        <v>127</v>
      </c>
    </row>
    <row r="170" spans="1:6" ht="18" hidden="1" customHeight="1" x14ac:dyDescent="0.25">
      <c r="A170" s="9">
        <v>44537</v>
      </c>
      <c r="B170" s="10">
        <v>7420</v>
      </c>
      <c r="C170" s="11" t="s">
        <v>228</v>
      </c>
      <c r="D170" s="11" t="s">
        <v>230</v>
      </c>
      <c r="E170" s="11"/>
      <c r="F170" s="12" t="s">
        <v>130</v>
      </c>
    </row>
    <row r="171" spans="1:6" ht="18" hidden="1" customHeight="1" x14ac:dyDescent="0.25">
      <c r="A171" s="13">
        <v>44601</v>
      </c>
      <c r="B171" s="14">
        <v>9400</v>
      </c>
      <c r="C171" s="15" t="s">
        <v>228</v>
      </c>
      <c r="D171" s="15" t="s">
        <v>231</v>
      </c>
      <c r="E171" s="15"/>
      <c r="F171" s="16" t="s">
        <v>189</v>
      </c>
    </row>
    <row r="172" spans="1:6" ht="18" hidden="1" customHeight="1" x14ac:dyDescent="0.25">
      <c r="A172" s="9">
        <v>44621</v>
      </c>
      <c r="B172" s="10">
        <v>7100</v>
      </c>
      <c r="C172" s="11" t="s">
        <v>228</v>
      </c>
      <c r="D172" s="11" t="s">
        <v>231</v>
      </c>
      <c r="E172" s="11"/>
      <c r="F172" s="12" t="s">
        <v>190</v>
      </c>
    </row>
    <row r="173" spans="1:6" ht="18" hidden="1" customHeight="1" x14ac:dyDescent="0.25">
      <c r="A173" s="13">
        <v>44623</v>
      </c>
      <c r="B173" s="14">
        <v>8200</v>
      </c>
      <c r="C173" s="15" t="s">
        <v>228</v>
      </c>
      <c r="D173" s="15" t="s">
        <v>231</v>
      </c>
      <c r="E173" s="15"/>
      <c r="F173" s="16" t="s">
        <v>191</v>
      </c>
    </row>
    <row r="174" spans="1:6" ht="27.95" hidden="1" customHeight="1" x14ac:dyDescent="0.25">
      <c r="A174" s="9">
        <v>45580</v>
      </c>
      <c r="B174" s="10">
        <v>9930</v>
      </c>
      <c r="C174" s="11" t="s">
        <v>228</v>
      </c>
      <c r="D174" s="11" t="s">
        <v>232</v>
      </c>
      <c r="E174" s="11"/>
      <c r="F174" s="12" t="s">
        <v>132</v>
      </c>
    </row>
    <row r="175" spans="1:6" ht="18" hidden="1" customHeight="1" x14ac:dyDescent="0.25">
      <c r="A175" s="13">
        <v>45805</v>
      </c>
      <c r="B175" s="14">
        <v>8950</v>
      </c>
      <c r="C175" s="15" t="s">
        <v>228</v>
      </c>
      <c r="D175" s="15" t="s">
        <v>232</v>
      </c>
      <c r="E175" s="15"/>
      <c r="F175" s="16" t="s">
        <v>193</v>
      </c>
    </row>
    <row r="176" spans="1:6" ht="18" hidden="1" customHeight="1" x14ac:dyDescent="0.25">
      <c r="A176" s="9">
        <v>45866</v>
      </c>
      <c r="B176" s="10">
        <v>13580</v>
      </c>
      <c r="C176" s="11" t="s">
        <v>228</v>
      </c>
      <c r="D176" s="11" t="s">
        <v>232</v>
      </c>
      <c r="E176" s="11" t="s">
        <v>227</v>
      </c>
      <c r="F176" s="12" t="s">
        <v>134</v>
      </c>
    </row>
    <row r="177" spans="1:6" ht="18" hidden="1" customHeight="1" x14ac:dyDescent="0.25">
      <c r="A177" s="13">
        <v>46056</v>
      </c>
      <c r="B177" s="14">
        <v>8810</v>
      </c>
      <c r="C177" s="15" t="s">
        <v>228</v>
      </c>
      <c r="D177" s="15" t="s">
        <v>232</v>
      </c>
      <c r="E177" s="15"/>
      <c r="F177" s="16" t="s">
        <v>136</v>
      </c>
    </row>
    <row r="178" spans="1:6" ht="18" hidden="1" customHeight="1" x14ac:dyDescent="0.25">
      <c r="A178" s="9">
        <v>46232</v>
      </c>
      <c r="B178" s="10">
        <v>4310</v>
      </c>
      <c r="C178" s="11" t="s">
        <v>228</v>
      </c>
      <c r="D178" s="11" t="s">
        <v>232</v>
      </c>
      <c r="E178" s="11" t="s">
        <v>126</v>
      </c>
      <c r="F178" s="12" t="s">
        <v>194</v>
      </c>
    </row>
    <row r="179" spans="1:6" ht="27.95" hidden="1" customHeight="1" x14ac:dyDescent="0.25">
      <c r="A179" s="13">
        <v>46246</v>
      </c>
      <c r="B179" s="14">
        <v>7560</v>
      </c>
      <c r="C179" s="15" t="s">
        <v>228</v>
      </c>
      <c r="D179" s="15" t="s">
        <v>232</v>
      </c>
      <c r="E179" s="15" t="s">
        <v>233</v>
      </c>
      <c r="F179" s="16" t="s">
        <v>144</v>
      </c>
    </row>
    <row r="180" spans="1:6" s="17" customFormat="1" ht="8.1" hidden="1" customHeight="1" x14ac:dyDescent="0.15"/>
    <row r="181" spans="1:6" ht="18" hidden="1" customHeight="1" x14ac:dyDescent="0.25">
      <c r="A181" s="26" t="s">
        <v>40</v>
      </c>
      <c r="B181" s="26"/>
      <c r="C181" s="26"/>
      <c r="D181" s="26"/>
      <c r="E181" s="26"/>
      <c r="F181" s="26"/>
    </row>
    <row r="182" spans="1:6" hidden="1" x14ac:dyDescent="0.25">
      <c r="A182" s="7" t="s">
        <v>41</v>
      </c>
    </row>
    <row r="183" spans="1:6" hidden="1" x14ac:dyDescent="0.25">
      <c r="A183" s="8" t="s">
        <v>118</v>
      </c>
      <c r="B183" s="8" t="s">
        <v>119</v>
      </c>
      <c r="C183" s="8" t="s">
        <v>120</v>
      </c>
      <c r="D183" s="8" t="s">
        <v>121</v>
      </c>
      <c r="E183" s="8" t="s">
        <v>122</v>
      </c>
      <c r="F183" s="8" t="s">
        <v>123</v>
      </c>
    </row>
    <row r="184" spans="1:6" ht="27.95" hidden="1" customHeight="1" x14ac:dyDescent="0.25">
      <c r="A184" s="9">
        <v>44121</v>
      </c>
      <c r="B184" s="10">
        <v>1270</v>
      </c>
      <c r="C184" s="11" t="s">
        <v>228</v>
      </c>
      <c r="D184" s="11" t="s">
        <v>234</v>
      </c>
      <c r="E184" s="11"/>
      <c r="F184" s="12" t="s">
        <v>185</v>
      </c>
    </row>
    <row r="185" spans="1:6" ht="18" hidden="1" customHeight="1" x14ac:dyDescent="0.25">
      <c r="A185" s="13">
        <v>44306</v>
      </c>
      <c r="B185" s="14">
        <v>1055</v>
      </c>
      <c r="C185" s="15" t="s">
        <v>228</v>
      </c>
      <c r="D185" s="15" t="s">
        <v>235</v>
      </c>
      <c r="E185" s="15" t="s">
        <v>126</v>
      </c>
      <c r="F185" s="16" t="s">
        <v>127</v>
      </c>
    </row>
    <row r="186" spans="1:6" ht="18" hidden="1" customHeight="1" x14ac:dyDescent="0.25">
      <c r="A186" s="9">
        <v>44537</v>
      </c>
      <c r="B186" s="10">
        <v>1484</v>
      </c>
      <c r="C186" s="11" t="s">
        <v>228</v>
      </c>
      <c r="D186" s="11" t="s">
        <v>235</v>
      </c>
      <c r="E186" s="11" t="s">
        <v>126</v>
      </c>
      <c r="F186" s="12" t="s">
        <v>130</v>
      </c>
    </row>
    <row r="187" spans="1:6" ht="18" hidden="1" customHeight="1" x14ac:dyDescent="0.25">
      <c r="A187" s="13">
        <v>44601</v>
      </c>
      <c r="B187" s="14">
        <v>4774</v>
      </c>
      <c r="C187" s="15" t="s">
        <v>228</v>
      </c>
      <c r="D187" s="15" t="s">
        <v>236</v>
      </c>
      <c r="E187" s="15"/>
      <c r="F187" s="16" t="s">
        <v>189</v>
      </c>
    </row>
    <row r="188" spans="1:6" ht="18" hidden="1" customHeight="1" x14ac:dyDescent="0.25">
      <c r="A188" s="9">
        <v>44621</v>
      </c>
      <c r="B188" s="10">
        <v>2785</v>
      </c>
      <c r="C188" s="11" t="s">
        <v>228</v>
      </c>
      <c r="D188" s="11" t="s">
        <v>236</v>
      </c>
      <c r="E188" s="11"/>
      <c r="F188" s="12" t="s">
        <v>190</v>
      </c>
    </row>
    <row r="189" spans="1:6" ht="18" hidden="1" customHeight="1" x14ac:dyDescent="0.25">
      <c r="A189" s="13">
        <v>44623</v>
      </c>
      <c r="B189" s="14">
        <v>2545</v>
      </c>
      <c r="C189" s="15" t="s">
        <v>228</v>
      </c>
      <c r="D189" s="15" t="s">
        <v>236</v>
      </c>
      <c r="E189" s="15"/>
      <c r="F189" s="16" t="s">
        <v>191</v>
      </c>
    </row>
    <row r="190" spans="1:6" ht="27.95" hidden="1" customHeight="1" x14ac:dyDescent="0.25">
      <c r="A190" s="9">
        <v>45580</v>
      </c>
      <c r="B190" s="10">
        <v>4600</v>
      </c>
      <c r="C190" s="11" t="s">
        <v>228</v>
      </c>
      <c r="D190" s="11" t="s">
        <v>237</v>
      </c>
      <c r="E190" s="11"/>
      <c r="F190" s="12" t="s">
        <v>132</v>
      </c>
    </row>
    <row r="191" spans="1:6" ht="18" hidden="1" customHeight="1" x14ac:dyDescent="0.25">
      <c r="A191" s="13">
        <v>45805</v>
      </c>
      <c r="B191" s="14">
        <v>3230</v>
      </c>
      <c r="C191" s="15" t="s">
        <v>228</v>
      </c>
      <c r="D191" s="15" t="s">
        <v>237</v>
      </c>
      <c r="E191" s="15"/>
      <c r="F191" s="16" t="s">
        <v>193</v>
      </c>
    </row>
    <row r="192" spans="1:6" ht="18" hidden="1" customHeight="1" x14ac:dyDescent="0.25">
      <c r="A192" s="9">
        <v>45866</v>
      </c>
      <c r="B192" s="10">
        <v>6720</v>
      </c>
      <c r="C192" s="11" t="s">
        <v>228</v>
      </c>
      <c r="D192" s="11" t="s">
        <v>237</v>
      </c>
      <c r="E192" s="11"/>
      <c r="F192" s="12" t="s">
        <v>134</v>
      </c>
    </row>
    <row r="193" spans="1:6" ht="18" hidden="1" customHeight="1" x14ac:dyDescent="0.25">
      <c r="A193" s="13">
        <v>46056</v>
      </c>
      <c r="B193" s="14">
        <v>3990</v>
      </c>
      <c r="C193" s="15" t="s">
        <v>228</v>
      </c>
      <c r="D193" s="15" t="s">
        <v>237</v>
      </c>
      <c r="E193" s="15"/>
      <c r="F193" s="16" t="s">
        <v>136</v>
      </c>
    </row>
    <row r="194" spans="1:6" ht="18" hidden="1" customHeight="1" x14ac:dyDescent="0.25">
      <c r="A194" s="9">
        <v>46232</v>
      </c>
      <c r="B194" s="10">
        <v>2240</v>
      </c>
      <c r="C194" s="11" t="s">
        <v>228</v>
      </c>
      <c r="D194" s="11" t="s">
        <v>237</v>
      </c>
      <c r="E194" s="11"/>
      <c r="F194" s="12" t="s">
        <v>194</v>
      </c>
    </row>
    <row r="195" spans="1:6" ht="27.95" hidden="1" customHeight="1" x14ac:dyDescent="0.25">
      <c r="A195" s="13">
        <v>46246</v>
      </c>
      <c r="B195" s="14">
        <v>2440</v>
      </c>
      <c r="C195" s="15" t="s">
        <v>228</v>
      </c>
      <c r="D195" s="15" t="s">
        <v>237</v>
      </c>
      <c r="E195" s="15"/>
      <c r="F195" s="16" t="s">
        <v>144</v>
      </c>
    </row>
    <row r="196" spans="1:6" s="17" customFormat="1" ht="8.1" hidden="1" customHeight="1" x14ac:dyDescent="0.15"/>
    <row r="197" spans="1:6" ht="18" hidden="1" customHeight="1" x14ac:dyDescent="0.25">
      <c r="A197" s="26" t="s">
        <v>42</v>
      </c>
      <c r="B197" s="26"/>
      <c r="C197" s="26"/>
      <c r="D197" s="26"/>
      <c r="E197" s="26"/>
      <c r="F197" s="26"/>
    </row>
    <row r="198" spans="1:6" hidden="1" x14ac:dyDescent="0.25">
      <c r="A198" s="7" t="s">
        <v>43</v>
      </c>
    </row>
    <row r="199" spans="1:6" hidden="1" x14ac:dyDescent="0.25">
      <c r="A199" s="8" t="s">
        <v>118</v>
      </c>
      <c r="B199" s="8" t="s">
        <v>119</v>
      </c>
      <c r="C199" s="8" t="s">
        <v>120</v>
      </c>
      <c r="D199" s="8" t="s">
        <v>121</v>
      </c>
      <c r="E199" s="8" t="s">
        <v>122</v>
      </c>
      <c r="F199" s="8" t="s">
        <v>123</v>
      </c>
    </row>
    <row r="200" spans="1:6" ht="27.95" hidden="1" customHeight="1" x14ac:dyDescent="0.25">
      <c r="A200" s="9">
        <v>44121</v>
      </c>
      <c r="B200" s="10">
        <v>4572</v>
      </c>
      <c r="C200" s="11" t="s">
        <v>228</v>
      </c>
      <c r="D200" s="11" t="s">
        <v>238</v>
      </c>
      <c r="E200" s="11"/>
      <c r="F200" s="12" t="s">
        <v>185</v>
      </c>
    </row>
    <row r="201" spans="1:6" ht="18" hidden="1" customHeight="1" x14ac:dyDescent="0.25">
      <c r="A201" s="13">
        <v>44306</v>
      </c>
      <c r="B201" s="14">
        <v>7672</v>
      </c>
      <c r="C201" s="15" t="s">
        <v>228</v>
      </c>
      <c r="D201" s="15" t="s">
        <v>239</v>
      </c>
      <c r="E201" s="15"/>
      <c r="F201" s="16" t="s">
        <v>127</v>
      </c>
    </row>
    <row r="202" spans="1:6" ht="18" hidden="1" customHeight="1" x14ac:dyDescent="0.25">
      <c r="A202" s="9">
        <v>44537</v>
      </c>
      <c r="B202" s="10">
        <v>5194</v>
      </c>
      <c r="C202" s="11" t="s">
        <v>228</v>
      </c>
      <c r="D202" s="11" t="s">
        <v>240</v>
      </c>
      <c r="E202" s="11"/>
      <c r="F202" s="12" t="s">
        <v>130</v>
      </c>
    </row>
    <row r="203" spans="1:6" ht="18" hidden="1" customHeight="1" x14ac:dyDescent="0.25">
      <c r="A203" s="13">
        <v>44601</v>
      </c>
      <c r="B203" s="14">
        <v>3557</v>
      </c>
      <c r="C203" s="15" t="s">
        <v>228</v>
      </c>
      <c r="D203" s="15" t="s">
        <v>241</v>
      </c>
      <c r="E203" s="15" t="s">
        <v>242</v>
      </c>
      <c r="F203" s="16" t="s">
        <v>189</v>
      </c>
    </row>
    <row r="204" spans="1:6" ht="18" hidden="1" customHeight="1" x14ac:dyDescent="0.25">
      <c r="A204" s="9">
        <v>44621</v>
      </c>
      <c r="B204" s="10">
        <v>3856</v>
      </c>
      <c r="C204" s="11" t="s">
        <v>228</v>
      </c>
      <c r="D204" s="11" t="s">
        <v>241</v>
      </c>
      <c r="E204" s="11" t="s">
        <v>242</v>
      </c>
      <c r="F204" s="12" t="s">
        <v>190</v>
      </c>
    </row>
    <row r="205" spans="1:6" ht="18" hidden="1" customHeight="1" x14ac:dyDescent="0.25">
      <c r="A205" s="13">
        <v>44623</v>
      </c>
      <c r="B205" s="14">
        <v>4680</v>
      </c>
      <c r="C205" s="15" t="s">
        <v>228</v>
      </c>
      <c r="D205" s="15" t="s">
        <v>241</v>
      </c>
      <c r="E205" s="15" t="s">
        <v>242</v>
      </c>
      <c r="F205" s="16" t="s">
        <v>191</v>
      </c>
    </row>
    <row r="206" spans="1:6" ht="27.95" hidden="1" customHeight="1" x14ac:dyDescent="0.25">
      <c r="A206" s="9">
        <v>45580</v>
      </c>
      <c r="B206" s="10">
        <v>4260</v>
      </c>
      <c r="C206" s="11" t="s">
        <v>228</v>
      </c>
      <c r="D206" s="11" t="s">
        <v>240</v>
      </c>
      <c r="E206" s="11"/>
      <c r="F206" s="12" t="s">
        <v>132</v>
      </c>
    </row>
    <row r="207" spans="1:6" ht="18" hidden="1" customHeight="1" x14ac:dyDescent="0.25">
      <c r="A207" s="13">
        <v>45805</v>
      </c>
      <c r="B207" s="14">
        <v>4700</v>
      </c>
      <c r="C207" s="15" t="s">
        <v>228</v>
      </c>
      <c r="D207" s="15" t="s">
        <v>240</v>
      </c>
      <c r="E207" s="15"/>
      <c r="F207" s="16" t="s">
        <v>193</v>
      </c>
    </row>
    <row r="208" spans="1:6" ht="18" hidden="1" customHeight="1" x14ac:dyDescent="0.25">
      <c r="A208" s="9">
        <v>45866</v>
      </c>
      <c r="B208" s="10">
        <v>5270</v>
      </c>
      <c r="C208" s="11" t="s">
        <v>228</v>
      </c>
      <c r="D208" s="11" t="s">
        <v>240</v>
      </c>
      <c r="E208" s="11"/>
      <c r="F208" s="12" t="s">
        <v>134</v>
      </c>
    </row>
    <row r="209" spans="1:6" ht="18" hidden="1" customHeight="1" x14ac:dyDescent="0.25">
      <c r="A209" s="13">
        <v>46056</v>
      </c>
      <c r="B209" s="14">
        <v>3690</v>
      </c>
      <c r="C209" s="15" t="s">
        <v>228</v>
      </c>
      <c r="D209" s="15" t="s">
        <v>240</v>
      </c>
      <c r="E209" s="15"/>
      <c r="F209" s="16" t="s">
        <v>136</v>
      </c>
    </row>
    <row r="210" spans="1:6" ht="18" hidden="1" customHeight="1" x14ac:dyDescent="0.25">
      <c r="A210" s="9">
        <v>46232</v>
      </c>
      <c r="B210" s="10">
        <v>1030</v>
      </c>
      <c r="C210" s="11" t="s">
        <v>228</v>
      </c>
      <c r="D210" s="11" t="s">
        <v>240</v>
      </c>
      <c r="E210" s="11" t="s">
        <v>126</v>
      </c>
      <c r="F210" s="12" t="s">
        <v>194</v>
      </c>
    </row>
    <row r="211" spans="1:6" ht="27.95" hidden="1" customHeight="1" x14ac:dyDescent="0.25">
      <c r="A211" s="13">
        <v>46246</v>
      </c>
      <c r="B211" s="14">
        <v>4180</v>
      </c>
      <c r="C211" s="15" t="s">
        <v>228</v>
      </c>
      <c r="D211" s="15" t="s">
        <v>240</v>
      </c>
      <c r="E211" s="15" t="s">
        <v>233</v>
      </c>
      <c r="F211" s="16" t="s">
        <v>144</v>
      </c>
    </row>
    <row r="212" spans="1:6" s="17" customFormat="1" ht="8.1" hidden="1" customHeight="1" x14ac:dyDescent="0.15"/>
    <row r="213" spans="1:6" ht="18" hidden="1" customHeight="1" x14ac:dyDescent="0.25">
      <c r="A213" s="26" t="s">
        <v>44</v>
      </c>
      <c r="B213" s="26"/>
      <c r="C213" s="26"/>
      <c r="D213" s="26"/>
      <c r="E213" s="26"/>
      <c r="F213" s="26"/>
    </row>
    <row r="214" spans="1:6" hidden="1" x14ac:dyDescent="0.25">
      <c r="A214" s="7" t="s">
        <v>43</v>
      </c>
    </row>
    <row r="215" spans="1:6" hidden="1" x14ac:dyDescent="0.25">
      <c r="A215" s="8" t="s">
        <v>118</v>
      </c>
      <c r="B215" s="8" t="s">
        <v>119</v>
      </c>
      <c r="C215" s="8" t="s">
        <v>120</v>
      </c>
      <c r="D215" s="8" t="s">
        <v>121</v>
      </c>
      <c r="E215" s="8" t="s">
        <v>122</v>
      </c>
      <c r="F215" s="8" t="s">
        <v>123</v>
      </c>
    </row>
    <row r="216" spans="1:6" ht="27.95" hidden="1" customHeight="1" x14ac:dyDescent="0.25">
      <c r="A216" s="9">
        <v>44121</v>
      </c>
      <c r="B216" s="10">
        <v>444</v>
      </c>
      <c r="C216" s="11" t="s">
        <v>228</v>
      </c>
      <c r="D216" s="11" t="s">
        <v>243</v>
      </c>
      <c r="E216" s="11"/>
      <c r="F216" s="12" t="s">
        <v>185</v>
      </c>
    </row>
    <row r="217" spans="1:6" ht="18" hidden="1" customHeight="1" x14ac:dyDescent="0.25">
      <c r="A217" s="13">
        <v>44306</v>
      </c>
      <c r="B217" s="14">
        <v>671</v>
      </c>
      <c r="C217" s="15" t="s">
        <v>228</v>
      </c>
      <c r="D217" s="15" t="s">
        <v>244</v>
      </c>
      <c r="E217" s="15"/>
      <c r="F217" s="16" t="s">
        <v>127</v>
      </c>
    </row>
    <row r="218" spans="1:6" ht="18" hidden="1" customHeight="1" x14ac:dyDescent="0.25">
      <c r="A218" s="9">
        <v>44537</v>
      </c>
      <c r="B218" s="10">
        <v>668</v>
      </c>
      <c r="C218" s="11" t="s">
        <v>228</v>
      </c>
      <c r="D218" s="11" t="s">
        <v>245</v>
      </c>
      <c r="E218" s="11"/>
      <c r="F218" s="12" t="s">
        <v>130</v>
      </c>
    </row>
    <row r="219" spans="1:6" ht="18" hidden="1" customHeight="1" x14ac:dyDescent="0.25">
      <c r="A219" s="13">
        <v>44601</v>
      </c>
      <c r="B219" s="14">
        <v>936</v>
      </c>
      <c r="C219" s="15" t="s">
        <v>228</v>
      </c>
      <c r="D219" s="15" t="s">
        <v>246</v>
      </c>
      <c r="E219" s="15"/>
      <c r="F219" s="16" t="s">
        <v>189</v>
      </c>
    </row>
    <row r="220" spans="1:6" ht="18" hidden="1" customHeight="1" x14ac:dyDescent="0.25">
      <c r="A220" s="9">
        <v>44621</v>
      </c>
      <c r="B220" s="10">
        <v>428</v>
      </c>
      <c r="C220" s="11" t="s">
        <v>228</v>
      </c>
      <c r="D220" s="11" t="s">
        <v>246</v>
      </c>
      <c r="E220" s="11"/>
      <c r="F220" s="12" t="s">
        <v>190</v>
      </c>
    </row>
    <row r="221" spans="1:6" ht="18" hidden="1" customHeight="1" x14ac:dyDescent="0.25">
      <c r="A221" s="13">
        <v>44623</v>
      </c>
      <c r="B221" s="14">
        <v>903</v>
      </c>
      <c r="C221" s="15" t="s">
        <v>228</v>
      </c>
      <c r="D221" s="15" t="s">
        <v>246</v>
      </c>
      <c r="E221" s="15"/>
      <c r="F221" s="16" t="s">
        <v>191</v>
      </c>
    </row>
    <row r="222" spans="1:6" ht="27.95" hidden="1" customHeight="1" x14ac:dyDescent="0.25">
      <c r="A222" s="9">
        <v>45580</v>
      </c>
      <c r="B222" s="10">
        <v>940</v>
      </c>
      <c r="C222" s="11" t="s">
        <v>228</v>
      </c>
      <c r="D222" s="11" t="s">
        <v>247</v>
      </c>
      <c r="E222" s="11"/>
      <c r="F222" s="12" t="s">
        <v>132</v>
      </c>
    </row>
    <row r="223" spans="1:6" ht="18" hidden="1" customHeight="1" x14ac:dyDescent="0.25">
      <c r="A223" s="13">
        <v>45805</v>
      </c>
      <c r="B223" s="14">
        <v>820</v>
      </c>
      <c r="C223" s="15" t="s">
        <v>228</v>
      </c>
      <c r="D223" s="15" t="s">
        <v>247</v>
      </c>
      <c r="E223" s="15"/>
      <c r="F223" s="16" t="s">
        <v>193</v>
      </c>
    </row>
    <row r="224" spans="1:6" ht="18" hidden="1" customHeight="1" x14ac:dyDescent="0.25">
      <c r="A224" s="9">
        <v>45866</v>
      </c>
      <c r="B224" s="10">
        <v>1420</v>
      </c>
      <c r="C224" s="11" t="s">
        <v>228</v>
      </c>
      <c r="D224" s="11" t="s">
        <v>247</v>
      </c>
      <c r="E224" s="11" t="s">
        <v>197</v>
      </c>
      <c r="F224" s="12" t="s">
        <v>134</v>
      </c>
    </row>
    <row r="225" spans="1:6" ht="18" hidden="1" customHeight="1" x14ac:dyDescent="0.25">
      <c r="A225" s="13">
        <v>46056</v>
      </c>
      <c r="B225" s="14">
        <v>910</v>
      </c>
      <c r="C225" s="15" t="s">
        <v>228</v>
      </c>
      <c r="D225" s="15" t="s">
        <v>247</v>
      </c>
      <c r="E225" s="15"/>
      <c r="F225" s="16" t="s">
        <v>136</v>
      </c>
    </row>
    <row r="226" spans="1:6" ht="18" hidden="1" customHeight="1" x14ac:dyDescent="0.25">
      <c r="A226" s="9">
        <v>46232</v>
      </c>
      <c r="B226" s="10">
        <v>1030</v>
      </c>
      <c r="C226" s="11" t="s">
        <v>228</v>
      </c>
      <c r="D226" s="11" t="s">
        <v>247</v>
      </c>
      <c r="E226" s="11" t="s">
        <v>197</v>
      </c>
      <c r="F226" s="12" t="s">
        <v>194</v>
      </c>
    </row>
    <row r="227" spans="1:6" ht="27.95" hidden="1" customHeight="1" x14ac:dyDescent="0.25">
      <c r="A227" s="13">
        <v>46246</v>
      </c>
      <c r="B227" s="14">
        <v>800</v>
      </c>
      <c r="C227" s="15" t="s">
        <v>228</v>
      </c>
      <c r="D227" s="15" t="s">
        <v>247</v>
      </c>
      <c r="E227" s="15" t="s">
        <v>233</v>
      </c>
      <c r="F227" s="16" t="s">
        <v>144</v>
      </c>
    </row>
    <row r="228" spans="1:6" s="17" customFormat="1" ht="8.1" hidden="1" customHeight="1" x14ac:dyDescent="0.15"/>
    <row r="229" spans="1:6" ht="18" hidden="1" customHeight="1" x14ac:dyDescent="0.25">
      <c r="A229" s="26" t="s">
        <v>45</v>
      </c>
      <c r="B229" s="26"/>
      <c r="C229" s="26"/>
      <c r="D229" s="26"/>
      <c r="E229" s="26"/>
      <c r="F229" s="26"/>
    </row>
    <row r="230" spans="1:6" hidden="1" x14ac:dyDescent="0.25">
      <c r="A230" s="7" t="s">
        <v>43</v>
      </c>
    </row>
    <row r="231" spans="1:6" hidden="1" x14ac:dyDescent="0.25">
      <c r="A231" s="8" t="s">
        <v>118</v>
      </c>
      <c r="B231" s="8" t="s">
        <v>119</v>
      </c>
      <c r="C231" s="8" t="s">
        <v>120</v>
      </c>
      <c r="D231" s="8" t="s">
        <v>121</v>
      </c>
      <c r="E231" s="8" t="s">
        <v>122</v>
      </c>
      <c r="F231" s="8" t="s">
        <v>123</v>
      </c>
    </row>
    <row r="232" spans="1:6" ht="27.95" hidden="1" customHeight="1" x14ac:dyDescent="0.25">
      <c r="A232" s="9">
        <v>44121</v>
      </c>
      <c r="B232" s="10">
        <v>64</v>
      </c>
      <c r="C232" s="11" t="s">
        <v>228</v>
      </c>
      <c r="D232" s="11" t="s">
        <v>248</v>
      </c>
      <c r="E232" s="11"/>
      <c r="F232" s="12" t="s">
        <v>185</v>
      </c>
    </row>
    <row r="233" spans="1:6" ht="18" hidden="1" customHeight="1" x14ac:dyDescent="0.25">
      <c r="A233" s="13">
        <v>44306</v>
      </c>
      <c r="B233" s="14">
        <v>192</v>
      </c>
      <c r="C233" s="15" t="s">
        <v>228</v>
      </c>
      <c r="D233" s="15" t="s">
        <v>249</v>
      </c>
      <c r="E233" s="15"/>
      <c r="F233" s="16" t="s">
        <v>127</v>
      </c>
    </row>
    <row r="234" spans="1:6" ht="18" hidden="1" customHeight="1" x14ac:dyDescent="0.25">
      <c r="A234" s="9">
        <v>44537</v>
      </c>
      <c r="B234" s="10">
        <v>74</v>
      </c>
      <c r="C234" s="11" t="s">
        <v>228</v>
      </c>
      <c r="D234" s="11" t="s">
        <v>250</v>
      </c>
      <c r="E234" s="11"/>
      <c r="F234" s="12" t="s">
        <v>130</v>
      </c>
    </row>
    <row r="235" spans="1:6" ht="18" hidden="1" customHeight="1" x14ac:dyDescent="0.25">
      <c r="A235" s="13">
        <v>44601</v>
      </c>
      <c r="B235" s="14">
        <v>94</v>
      </c>
      <c r="C235" s="15" t="s">
        <v>228</v>
      </c>
      <c r="D235" s="15" t="s">
        <v>251</v>
      </c>
      <c r="E235" s="15"/>
      <c r="F235" s="16" t="s">
        <v>189</v>
      </c>
    </row>
    <row r="236" spans="1:6" ht="18" hidden="1" customHeight="1" x14ac:dyDescent="0.25">
      <c r="A236" s="9">
        <v>44621</v>
      </c>
      <c r="B236" s="10">
        <v>71</v>
      </c>
      <c r="C236" s="11" t="s">
        <v>228</v>
      </c>
      <c r="D236" s="11" t="s">
        <v>251</v>
      </c>
      <c r="E236" s="11"/>
      <c r="F236" s="12" t="s">
        <v>190</v>
      </c>
    </row>
    <row r="237" spans="1:6" ht="27.95" hidden="1" customHeight="1" x14ac:dyDescent="0.25">
      <c r="A237" s="13">
        <v>45580</v>
      </c>
      <c r="B237" s="14">
        <v>100</v>
      </c>
      <c r="C237" s="15" t="s">
        <v>228</v>
      </c>
      <c r="D237" s="15" t="s">
        <v>252</v>
      </c>
      <c r="E237" s="15" t="s">
        <v>253</v>
      </c>
      <c r="F237" s="16" t="s">
        <v>132</v>
      </c>
    </row>
    <row r="238" spans="1:6" ht="18" hidden="1" customHeight="1" x14ac:dyDescent="0.25">
      <c r="A238" s="9">
        <v>45805</v>
      </c>
      <c r="B238" s="10">
        <v>140</v>
      </c>
      <c r="C238" s="11" t="s">
        <v>228</v>
      </c>
      <c r="D238" s="11" t="s">
        <v>252</v>
      </c>
      <c r="E238" s="11"/>
      <c r="F238" s="12" t="s">
        <v>193</v>
      </c>
    </row>
    <row r="239" spans="1:6" ht="18" hidden="1" customHeight="1" x14ac:dyDescent="0.25">
      <c r="A239" s="13">
        <v>45866</v>
      </c>
      <c r="B239" s="14">
        <v>100</v>
      </c>
      <c r="C239" s="15" t="s">
        <v>228</v>
      </c>
      <c r="D239" s="15" t="s">
        <v>252</v>
      </c>
      <c r="E239" s="15" t="s">
        <v>253</v>
      </c>
      <c r="F239" s="16" t="s">
        <v>134</v>
      </c>
    </row>
    <row r="240" spans="1:6" ht="18" hidden="1" customHeight="1" x14ac:dyDescent="0.25">
      <c r="A240" s="9">
        <v>46056</v>
      </c>
      <c r="B240" s="10">
        <v>190</v>
      </c>
      <c r="C240" s="11" t="s">
        <v>228</v>
      </c>
      <c r="D240" s="11" t="s">
        <v>252</v>
      </c>
      <c r="E240" s="11"/>
      <c r="F240" s="12" t="s">
        <v>136</v>
      </c>
    </row>
    <row r="241" spans="1:6" ht="18" hidden="1" customHeight="1" x14ac:dyDescent="0.25">
      <c r="A241" s="13">
        <v>46232</v>
      </c>
      <c r="B241" s="14">
        <v>0</v>
      </c>
      <c r="C241" s="15" t="s">
        <v>228</v>
      </c>
      <c r="D241" s="15" t="s">
        <v>252</v>
      </c>
      <c r="E241" s="15" t="s">
        <v>126</v>
      </c>
      <c r="F241" s="16" t="s">
        <v>194</v>
      </c>
    </row>
    <row r="242" spans="1:6" ht="27.95" hidden="1" customHeight="1" x14ac:dyDescent="0.25">
      <c r="A242" s="9">
        <v>46246</v>
      </c>
      <c r="B242" s="10">
        <v>100</v>
      </c>
      <c r="C242" s="11" t="s">
        <v>228</v>
      </c>
      <c r="D242" s="11" t="s">
        <v>252</v>
      </c>
      <c r="E242" s="11" t="s">
        <v>253</v>
      </c>
      <c r="F242" s="12" t="s">
        <v>144</v>
      </c>
    </row>
    <row r="243" spans="1:6" s="17" customFormat="1" ht="8.1" hidden="1" customHeight="1" x14ac:dyDescent="0.15"/>
    <row r="244" spans="1:6" ht="18" hidden="1" customHeight="1" x14ac:dyDescent="0.25">
      <c r="A244" s="26" t="s">
        <v>46</v>
      </c>
      <c r="B244" s="26"/>
      <c r="C244" s="26"/>
      <c r="D244" s="26"/>
      <c r="E244" s="26"/>
      <c r="F244" s="26"/>
    </row>
    <row r="245" spans="1:6" hidden="1" x14ac:dyDescent="0.25">
      <c r="A245" s="7" t="s">
        <v>47</v>
      </c>
    </row>
    <row r="246" spans="1:6" hidden="1" x14ac:dyDescent="0.25">
      <c r="A246" s="8" t="s">
        <v>118</v>
      </c>
      <c r="B246" s="8" t="s">
        <v>119</v>
      </c>
      <c r="C246" s="8" t="s">
        <v>120</v>
      </c>
      <c r="D246" s="8" t="s">
        <v>121</v>
      </c>
      <c r="E246" s="8" t="s">
        <v>122</v>
      </c>
      <c r="F246" s="8" t="s">
        <v>123</v>
      </c>
    </row>
    <row r="247" spans="1:6" ht="27.95" hidden="1" customHeight="1" x14ac:dyDescent="0.25">
      <c r="A247" s="9">
        <v>45580</v>
      </c>
      <c r="B247" s="10">
        <v>30</v>
      </c>
      <c r="C247" s="11" t="s">
        <v>228</v>
      </c>
      <c r="D247" s="11" t="s">
        <v>254</v>
      </c>
      <c r="E247" s="11"/>
      <c r="F247" s="12" t="s">
        <v>132</v>
      </c>
    </row>
    <row r="248" spans="1:6" ht="18" hidden="1" customHeight="1" x14ac:dyDescent="0.25">
      <c r="A248" s="13">
        <v>45805</v>
      </c>
      <c r="B248" s="14">
        <v>60</v>
      </c>
      <c r="C248" s="15" t="s">
        <v>228</v>
      </c>
      <c r="D248" s="15" t="s">
        <v>254</v>
      </c>
      <c r="E248" s="15"/>
      <c r="F248" s="16" t="s">
        <v>193</v>
      </c>
    </row>
    <row r="249" spans="1:6" ht="18" hidden="1" customHeight="1" x14ac:dyDescent="0.25">
      <c r="A249" s="9">
        <v>45866</v>
      </c>
      <c r="B249" s="10">
        <v>70</v>
      </c>
      <c r="C249" s="11" t="s">
        <v>228</v>
      </c>
      <c r="D249" s="11" t="s">
        <v>254</v>
      </c>
      <c r="E249" s="11"/>
      <c r="F249" s="12" t="s">
        <v>134</v>
      </c>
    </row>
    <row r="250" spans="1:6" ht="18" hidden="1" customHeight="1" x14ac:dyDescent="0.25">
      <c r="A250" s="13">
        <v>46056</v>
      </c>
      <c r="B250" s="14">
        <v>30</v>
      </c>
      <c r="C250" s="15" t="s">
        <v>228</v>
      </c>
      <c r="D250" s="15" t="s">
        <v>254</v>
      </c>
      <c r="E250" s="15"/>
      <c r="F250" s="16" t="s">
        <v>136</v>
      </c>
    </row>
    <row r="251" spans="1:6" ht="18" hidden="1" customHeight="1" x14ac:dyDescent="0.25">
      <c r="A251" s="9">
        <v>46232</v>
      </c>
      <c r="B251" s="10">
        <v>10</v>
      </c>
      <c r="C251" s="11" t="s">
        <v>228</v>
      </c>
      <c r="D251" s="11" t="s">
        <v>254</v>
      </c>
      <c r="E251" s="11"/>
      <c r="F251" s="12" t="s">
        <v>194</v>
      </c>
    </row>
    <row r="252" spans="1:6" ht="27.95" hidden="1" customHeight="1" x14ac:dyDescent="0.25">
      <c r="A252" s="13">
        <v>46246</v>
      </c>
      <c r="B252" s="14">
        <v>40</v>
      </c>
      <c r="C252" s="15" t="s">
        <v>228</v>
      </c>
      <c r="D252" s="15" t="s">
        <v>254</v>
      </c>
      <c r="E252" s="15"/>
      <c r="F252" s="16" t="s">
        <v>144</v>
      </c>
    </row>
    <row r="253" spans="1:6" s="17" customFormat="1" ht="8.1" hidden="1" customHeight="1" x14ac:dyDescent="0.15"/>
    <row r="254" spans="1:6" ht="18" hidden="1" customHeight="1" x14ac:dyDescent="0.25">
      <c r="A254" s="26" t="s">
        <v>48</v>
      </c>
      <c r="B254" s="26"/>
      <c r="C254" s="26"/>
      <c r="D254" s="26"/>
      <c r="E254" s="26"/>
      <c r="F254" s="26"/>
    </row>
    <row r="255" spans="1:6" hidden="1" x14ac:dyDescent="0.25">
      <c r="A255" s="7" t="s">
        <v>49</v>
      </c>
    </row>
    <row r="256" spans="1:6" hidden="1" x14ac:dyDescent="0.25">
      <c r="A256" s="8" t="s">
        <v>118</v>
      </c>
      <c r="B256" s="8" t="s">
        <v>119</v>
      </c>
      <c r="C256" s="8" t="s">
        <v>120</v>
      </c>
      <c r="D256" s="8" t="s">
        <v>121</v>
      </c>
      <c r="E256" s="8" t="s">
        <v>122</v>
      </c>
      <c r="F256" s="8" t="s">
        <v>123</v>
      </c>
    </row>
    <row r="257" spans="1:6" ht="27.95" hidden="1" customHeight="1" x14ac:dyDescent="0.25">
      <c r="A257" s="9">
        <v>44121</v>
      </c>
      <c r="B257" s="10">
        <v>180000</v>
      </c>
      <c r="C257" s="11" t="s">
        <v>228</v>
      </c>
      <c r="D257" s="11" t="s">
        <v>255</v>
      </c>
      <c r="E257" s="11"/>
      <c r="F257" s="12" t="s">
        <v>185</v>
      </c>
    </row>
    <row r="258" spans="1:6" ht="18" hidden="1" customHeight="1" x14ac:dyDescent="0.25">
      <c r="A258" s="13">
        <v>44306</v>
      </c>
      <c r="B258" s="14">
        <v>185000</v>
      </c>
      <c r="C258" s="15" t="s">
        <v>228</v>
      </c>
      <c r="D258" s="15" t="s">
        <v>255</v>
      </c>
      <c r="E258" s="15"/>
      <c r="F258" s="16" t="s">
        <v>127</v>
      </c>
    </row>
    <row r="259" spans="1:6" ht="18" hidden="1" customHeight="1" x14ac:dyDescent="0.25">
      <c r="A259" s="9">
        <v>44537</v>
      </c>
      <c r="B259" s="10">
        <v>231000</v>
      </c>
      <c r="C259" s="11" t="s">
        <v>228</v>
      </c>
      <c r="D259" s="11" t="s">
        <v>255</v>
      </c>
      <c r="E259" s="11"/>
      <c r="F259" s="12" t="s">
        <v>130</v>
      </c>
    </row>
    <row r="260" spans="1:6" ht="18" hidden="1" customHeight="1" x14ac:dyDescent="0.25">
      <c r="A260" s="13">
        <v>44601</v>
      </c>
      <c r="B260" s="14">
        <v>303000</v>
      </c>
      <c r="C260" s="15" t="s">
        <v>228</v>
      </c>
      <c r="D260" s="15" t="s">
        <v>256</v>
      </c>
      <c r="E260" s="15"/>
      <c r="F260" s="16" t="s">
        <v>189</v>
      </c>
    </row>
    <row r="261" spans="1:6" ht="18" hidden="1" customHeight="1" x14ac:dyDescent="0.25">
      <c r="A261" s="9">
        <v>44621</v>
      </c>
      <c r="B261" s="10">
        <v>350000</v>
      </c>
      <c r="C261" s="11" t="s">
        <v>228</v>
      </c>
      <c r="D261" s="11" t="s">
        <v>256</v>
      </c>
      <c r="E261" s="11"/>
      <c r="F261" s="12" t="s">
        <v>190</v>
      </c>
    </row>
    <row r="262" spans="1:6" ht="18" hidden="1" customHeight="1" x14ac:dyDescent="0.25">
      <c r="A262" s="13">
        <v>44623</v>
      </c>
      <c r="B262" s="14">
        <v>367000</v>
      </c>
      <c r="C262" s="15" t="s">
        <v>228</v>
      </c>
      <c r="D262" s="15" t="s">
        <v>256</v>
      </c>
      <c r="E262" s="15"/>
      <c r="F262" s="16" t="s">
        <v>191</v>
      </c>
    </row>
    <row r="263" spans="1:6" ht="27.95" hidden="1" customHeight="1" x14ac:dyDescent="0.25">
      <c r="A263" s="9">
        <v>45580</v>
      </c>
      <c r="B263" s="10">
        <v>379000</v>
      </c>
      <c r="C263" s="11" t="s">
        <v>228</v>
      </c>
      <c r="D263" s="11" t="s">
        <v>255</v>
      </c>
      <c r="E263" s="11"/>
      <c r="F263" s="12" t="s">
        <v>132</v>
      </c>
    </row>
    <row r="264" spans="1:6" ht="18" hidden="1" customHeight="1" x14ac:dyDescent="0.25">
      <c r="A264" s="13">
        <v>45805</v>
      </c>
      <c r="B264" s="14">
        <v>365000</v>
      </c>
      <c r="C264" s="15" t="s">
        <v>228</v>
      </c>
      <c r="D264" s="15" t="s">
        <v>255</v>
      </c>
      <c r="E264" s="15"/>
      <c r="F264" s="16" t="s">
        <v>193</v>
      </c>
    </row>
    <row r="265" spans="1:6" ht="18" hidden="1" customHeight="1" x14ac:dyDescent="0.25">
      <c r="A265" s="9">
        <v>45866</v>
      </c>
      <c r="B265" s="10">
        <v>401000</v>
      </c>
      <c r="C265" s="11" t="s">
        <v>228</v>
      </c>
      <c r="D265" s="11" t="s">
        <v>255</v>
      </c>
      <c r="E265" s="11"/>
      <c r="F265" s="12" t="s">
        <v>134</v>
      </c>
    </row>
    <row r="266" spans="1:6" ht="18" hidden="1" customHeight="1" x14ac:dyDescent="0.25">
      <c r="A266" s="13">
        <v>46056</v>
      </c>
      <c r="B266" s="14">
        <v>309000</v>
      </c>
      <c r="C266" s="15" t="s">
        <v>228</v>
      </c>
      <c r="D266" s="15" t="s">
        <v>255</v>
      </c>
      <c r="E266" s="15"/>
      <c r="F266" s="16" t="s">
        <v>136</v>
      </c>
    </row>
    <row r="267" spans="1:6" ht="18" hidden="1" customHeight="1" x14ac:dyDescent="0.25">
      <c r="A267" s="9">
        <v>46232</v>
      </c>
      <c r="B267" s="10">
        <v>202000</v>
      </c>
      <c r="C267" s="11" t="s">
        <v>228</v>
      </c>
      <c r="D267" s="11" t="s">
        <v>255</v>
      </c>
      <c r="E267" s="11"/>
      <c r="F267" s="12" t="s">
        <v>194</v>
      </c>
    </row>
    <row r="268" spans="1:6" ht="27.95" hidden="1" customHeight="1" x14ac:dyDescent="0.25">
      <c r="A268" s="13">
        <v>46246</v>
      </c>
      <c r="B268" s="14">
        <v>458000</v>
      </c>
      <c r="C268" s="15" t="s">
        <v>228</v>
      </c>
      <c r="D268" s="15" t="s">
        <v>255</v>
      </c>
      <c r="E268" s="15" t="s">
        <v>197</v>
      </c>
      <c r="F268" s="16" t="s">
        <v>144</v>
      </c>
    </row>
    <row r="269" spans="1:6" s="17" customFormat="1" ht="8.1" hidden="1" customHeight="1" x14ac:dyDescent="0.15"/>
    <row r="270" spans="1:6" ht="18" hidden="1" customHeight="1" x14ac:dyDescent="0.25">
      <c r="A270" s="26" t="s">
        <v>50</v>
      </c>
      <c r="B270" s="26"/>
      <c r="C270" s="26"/>
      <c r="D270" s="26"/>
      <c r="E270" s="26"/>
      <c r="F270" s="26"/>
    </row>
    <row r="271" spans="1:6" hidden="1" x14ac:dyDescent="0.25">
      <c r="A271" s="7" t="s">
        <v>51</v>
      </c>
    </row>
    <row r="272" spans="1:6" hidden="1" x14ac:dyDescent="0.25">
      <c r="A272" s="8" t="s">
        <v>118</v>
      </c>
      <c r="B272" s="8" t="s">
        <v>119</v>
      </c>
      <c r="C272" s="8" t="s">
        <v>120</v>
      </c>
      <c r="D272" s="8" t="s">
        <v>121</v>
      </c>
      <c r="E272" s="8" t="s">
        <v>122</v>
      </c>
      <c r="F272" s="8" t="s">
        <v>123</v>
      </c>
    </row>
    <row r="273" spans="1:6" ht="18" hidden="1" customHeight="1" x14ac:dyDescent="0.25">
      <c r="A273" s="9">
        <v>44121</v>
      </c>
      <c r="B273" s="10">
        <v>28</v>
      </c>
      <c r="C273" s="11" t="s">
        <v>202</v>
      </c>
      <c r="D273" s="11" t="s">
        <v>257</v>
      </c>
      <c r="E273" s="11" t="s">
        <v>126</v>
      </c>
      <c r="F273" s="12" t="s">
        <v>258</v>
      </c>
    </row>
    <row r="274" spans="1:6" s="17" customFormat="1" ht="8.1" hidden="1" customHeight="1" x14ac:dyDescent="0.15"/>
    <row r="275" spans="1:6" ht="18" hidden="1" customHeight="1" x14ac:dyDescent="0.25">
      <c r="A275" s="26" t="s">
        <v>52</v>
      </c>
      <c r="B275" s="26"/>
      <c r="C275" s="26"/>
      <c r="D275" s="26"/>
      <c r="E275" s="26"/>
      <c r="F275" s="26"/>
    </row>
    <row r="276" spans="1:6" hidden="1" x14ac:dyDescent="0.25">
      <c r="A276" s="7" t="s">
        <v>53</v>
      </c>
    </row>
    <row r="277" spans="1:6" hidden="1" x14ac:dyDescent="0.25">
      <c r="A277" s="8" t="s">
        <v>118</v>
      </c>
      <c r="B277" s="8" t="s">
        <v>119</v>
      </c>
      <c r="C277" s="8" t="s">
        <v>120</v>
      </c>
      <c r="D277" s="8" t="s">
        <v>121</v>
      </c>
      <c r="E277" s="8" t="s">
        <v>122</v>
      </c>
      <c r="F277" s="8" t="s">
        <v>123</v>
      </c>
    </row>
    <row r="278" spans="1:6" ht="18" hidden="1" customHeight="1" x14ac:dyDescent="0.25">
      <c r="A278" s="9">
        <v>44601</v>
      </c>
      <c r="B278" s="10">
        <v>1.9</v>
      </c>
      <c r="C278" s="11" t="s">
        <v>259</v>
      </c>
      <c r="D278" s="11" t="s">
        <v>260</v>
      </c>
      <c r="E278" s="11" t="s">
        <v>261</v>
      </c>
      <c r="F278" s="12" t="s">
        <v>189</v>
      </c>
    </row>
    <row r="279" spans="1:6" ht="18" hidden="1" customHeight="1" x14ac:dyDescent="0.25">
      <c r="A279" s="13">
        <v>44621</v>
      </c>
      <c r="B279" s="14">
        <v>1</v>
      </c>
      <c r="C279" s="15" t="s">
        <v>259</v>
      </c>
      <c r="D279" s="15" t="s">
        <v>260</v>
      </c>
      <c r="E279" s="15" t="s">
        <v>261</v>
      </c>
      <c r="F279" s="16" t="s">
        <v>190</v>
      </c>
    </row>
    <row r="280" spans="1:6" ht="18" hidden="1" customHeight="1" x14ac:dyDescent="0.25">
      <c r="A280" s="9">
        <v>46232</v>
      </c>
      <c r="B280" s="10">
        <v>4</v>
      </c>
      <c r="C280" s="11" t="s">
        <v>259</v>
      </c>
      <c r="D280" s="11" t="s">
        <v>262</v>
      </c>
      <c r="E280" s="11" t="s">
        <v>263</v>
      </c>
      <c r="F280" s="12" t="s">
        <v>194</v>
      </c>
    </row>
    <row r="281" spans="1:6" s="17" customFormat="1" ht="8.1" hidden="1" customHeight="1" x14ac:dyDescent="0.15"/>
    <row r="282" spans="1:6" ht="20.100000000000001" hidden="1" customHeight="1" x14ac:dyDescent="0.25">
      <c r="A282" s="25" t="s">
        <v>54</v>
      </c>
      <c r="B282" s="25"/>
      <c r="C282" s="25"/>
      <c r="D282" s="25"/>
      <c r="E282" s="25"/>
      <c r="F282" s="25"/>
    </row>
    <row r="283" spans="1:6" ht="18" hidden="1" customHeight="1" x14ac:dyDescent="0.25">
      <c r="A283" s="26" t="s">
        <v>55</v>
      </c>
      <c r="B283" s="26"/>
      <c r="C283" s="26"/>
      <c r="D283" s="26"/>
      <c r="E283" s="26"/>
      <c r="F283" s="26"/>
    </row>
    <row r="284" spans="1:6" hidden="1" x14ac:dyDescent="0.25">
      <c r="A284" s="7" t="s">
        <v>56</v>
      </c>
    </row>
    <row r="285" spans="1:6" hidden="1" x14ac:dyDescent="0.25">
      <c r="A285" s="8" t="s">
        <v>118</v>
      </c>
      <c r="B285" s="8" t="s">
        <v>264</v>
      </c>
      <c r="C285" s="27" t="s">
        <v>265</v>
      </c>
      <c r="D285" s="27"/>
      <c r="E285" s="8" t="s">
        <v>122</v>
      </c>
      <c r="F285" s="8" t="s">
        <v>123</v>
      </c>
    </row>
    <row r="286" spans="1:6" ht="45.95" hidden="1" customHeight="1" x14ac:dyDescent="0.25">
      <c r="A286" s="9">
        <v>44601</v>
      </c>
      <c r="B286" s="11" t="s">
        <v>266</v>
      </c>
      <c r="C286" s="28" t="s">
        <v>267</v>
      </c>
      <c r="D286" s="28"/>
      <c r="E286" s="18" t="s">
        <v>268</v>
      </c>
      <c r="F286" s="12" t="s">
        <v>189</v>
      </c>
    </row>
    <row r="287" spans="1:6" ht="36" hidden="1" customHeight="1" x14ac:dyDescent="0.25">
      <c r="A287" s="13">
        <v>44621</v>
      </c>
      <c r="B287" s="15" t="s">
        <v>266</v>
      </c>
      <c r="C287" s="29" t="s">
        <v>269</v>
      </c>
      <c r="D287" s="29"/>
      <c r="E287" s="19" t="s">
        <v>261</v>
      </c>
      <c r="F287" s="16" t="s">
        <v>270</v>
      </c>
    </row>
    <row r="288" spans="1:6" ht="36" hidden="1" customHeight="1" x14ac:dyDescent="0.25">
      <c r="A288" s="9">
        <v>44622</v>
      </c>
      <c r="B288" s="11" t="s">
        <v>271</v>
      </c>
      <c r="C288" s="28" t="s">
        <v>272</v>
      </c>
      <c r="D288" s="28"/>
      <c r="E288" s="18" t="s">
        <v>273</v>
      </c>
      <c r="F288" s="12" t="s">
        <v>274</v>
      </c>
    </row>
    <row r="289" spans="1:6" ht="45.95" hidden="1" customHeight="1" x14ac:dyDescent="0.25">
      <c r="A289" s="13">
        <v>44971</v>
      </c>
      <c r="B289" s="15" t="s">
        <v>275</v>
      </c>
      <c r="C289" s="29" t="s">
        <v>276</v>
      </c>
      <c r="D289" s="29"/>
      <c r="E289" s="19" t="s">
        <v>277</v>
      </c>
      <c r="F289" s="16" t="s">
        <v>278</v>
      </c>
    </row>
    <row r="290" spans="1:6" s="17" customFormat="1" ht="8.1" hidden="1" customHeight="1" x14ac:dyDescent="0.15"/>
    <row r="291" spans="1:6" ht="20.100000000000001" hidden="1" customHeight="1" x14ac:dyDescent="0.25">
      <c r="A291" s="25" t="s">
        <v>57</v>
      </c>
      <c r="B291" s="25"/>
      <c r="C291" s="25"/>
      <c r="D291" s="25"/>
      <c r="E291" s="25"/>
      <c r="F291" s="25"/>
    </row>
    <row r="292" spans="1:6" ht="18" hidden="1" customHeight="1" x14ac:dyDescent="0.25">
      <c r="A292" s="26" t="s">
        <v>58</v>
      </c>
      <c r="B292" s="26"/>
      <c r="C292" s="26"/>
      <c r="D292" s="26"/>
      <c r="E292" s="26"/>
      <c r="F292" s="26"/>
    </row>
    <row r="293" spans="1:6" hidden="1" x14ac:dyDescent="0.25">
      <c r="A293" s="7" t="s">
        <v>59</v>
      </c>
    </row>
    <row r="294" spans="1:6" hidden="1" x14ac:dyDescent="0.25">
      <c r="A294" s="8" t="s">
        <v>118</v>
      </c>
      <c r="B294" s="8" t="s">
        <v>119</v>
      </c>
      <c r="C294" s="8" t="s">
        <v>120</v>
      </c>
      <c r="D294" s="8" t="s">
        <v>121</v>
      </c>
      <c r="E294" s="8" t="s">
        <v>122</v>
      </c>
      <c r="F294" s="8" t="s">
        <v>123</v>
      </c>
    </row>
    <row r="295" spans="1:6" ht="27.95" hidden="1" customHeight="1" x14ac:dyDescent="0.25">
      <c r="A295" s="9">
        <v>45580</v>
      </c>
      <c r="B295" s="10">
        <v>11.6</v>
      </c>
      <c r="C295" s="11" t="s">
        <v>124</v>
      </c>
      <c r="D295" s="11" t="s">
        <v>279</v>
      </c>
      <c r="E295" s="11" t="s">
        <v>280</v>
      </c>
      <c r="F295" s="12" t="s">
        <v>132</v>
      </c>
    </row>
    <row r="296" spans="1:6" ht="18" hidden="1" customHeight="1" x14ac:dyDescent="0.25">
      <c r="A296" s="13">
        <v>45866</v>
      </c>
      <c r="B296" s="14">
        <v>6.9</v>
      </c>
      <c r="C296" s="15" t="s">
        <v>124</v>
      </c>
      <c r="D296" s="15" t="s">
        <v>279</v>
      </c>
      <c r="E296" s="15" t="s">
        <v>129</v>
      </c>
      <c r="F296" s="16" t="s">
        <v>134</v>
      </c>
    </row>
    <row r="297" spans="1:6" ht="18" hidden="1" customHeight="1" x14ac:dyDescent="0.25">
      <c r="A297" s="9">
        <v>46056</v>
      </c>
      <c r="B297" s="10">
        <v>19.5</v>
      </c>
      <c r="C297" s="11" t="s">
        <v>124</v>
      </c>
      <c r="D297" s="11" t="s">
        <v>279</v>
      </c>
      <c r="E297" s="11" t="s">
        <v>281</v>
      </c>
      <c r="F297" s="12" t="s">
        <v>136</v>
      </c>
    </row>
    <row r="298" spans="1:6" ht="27.95" hidden="1" customHeight="1" x14ac:dyDescent="0.25">
      <c r="A298" s="13">
        <v>46246</v>
      </c>
      <c r="B298" s="14">
        <v>44.1</v>
      </c>
      <c r="C298" s="15" t="s">
        <v>124</v>
      </c>
      <c r="D298" s="15" t="s">
        <v>279</v>
      </c>
      <c r="E298" s="15" t="s">
        <v>133</v>
      </c>
      <c r="F298" s="16" t="s">
        <v>144</v>
      </c>
    </row>
    <row r="299" spans="1:6" s="17" customFormat="1" ht="8.1" hidden="1" customHeight="1" x14ac:dyDescent="0.15"/>
    <row r="300" spans="1:6" ht="18" hidden="1" customHeight="1" x14ac:dyDescent="0.25">
      <c r="A300" s="26" t="s">
        <v>60</v>
      </c>
      <c r="B300" s="26"/>
      <c r="C300" s="26"/>
      <c r="D300" s="26"/>
      <c r="E300" s="26"/>
      <c r="F300" s="26"/>
    </row>
    <row r="301" spans="1:6" hidden="1" x14ac:dyDescent="0.25">
      <c r="A301" s="7" t="s">
        <v>61</v>
      </c>
    </row>
    <row r="302" spans="1:6" hidden="1" x14ac:dyDescent="0.25">
      <c r="A302" s="8" t="s">
        <v>118</v>
      </c>
      <c r="B302" s="8" t="s">
        <v>119</v>
      </c>
      <c r="C302" s="8" t="s">
        <v>120</v>
      </c>
      <c r="D302" s="8" t="s">
        <v>121</v>
      </c>
      <c r="E302" s="8" t="s">
        <v>122</v>
      </c>
      <c r="F302" s="8" t="s">
        <v>123</v>
      </c>
    </row>
    <row r="303" spans="1:6" ht="18" hidden="1" customHeight="1" x14ac:dyDescent="0.25">
      <c r="A303" s="9">
        <v>45866</v>
      </c>
      <c r="B303" s="10">
        <v>44</v>
      </c>
      <c r="C303" s="11" t="s">
        <v>282</v>
      </c>
      <c r="D303" s="11" t="s">
        <v>283</v>
      </c>
      <c r="E303" s="11" t="s">
        <v>126</v>
      </c>
      <c r="F303" s="12" t="s">
        <v>134</v>
      </c>
    </row>
    <row r="304" spans="1:6" ht="18" hidden="1" customHeight="1" x14ac:dyDescent="0.25">
      <c r="A304" s="13">
        <v>46056</v>
      </c>
      <c r="B304" s="14">
        <v>83</v>
      </c>
      <c r="C304" s="15" t="s">
        <v>282</v>
      </c>
      <c r="D304" s="15" t="s">
        <v>283</v>
      </c>
      <c r="E304" s="15" t="s">
        <v>284</v>
      </c>
      <c r="F304" s="16" t="s">
        <v>136</v>
      </c>
    </row>
    <row r="305" spans="1:6" ht="27.95" hidden="1" customHeight="1" x14ac:dyDescent="0.25">
      <c r="A305" s="9">
        <v>46246</v>
      </c>
      <c r="B305" s="10">
        <v>123</v>
      </c>
      <c r="C305" s="11" t="s">
        <v>282</v>
      </c>
      <c r="D305" s="11" t="s">
        <v>283</v>
      </c>
      <c r="E305" s="11" t="s">
        <v>285</v>
      </c>
      <c r="F305" s="12" t="s">
        <v>144</v>
      </c>
    </row>
    <row r="306" spans="1:6" s="17" customFormat="1" ht="8.1" hidden="1" customHeight="1" x14ac:dyDescent="0.15"/>
    <row r="307" spans="1:6" ht="18" hidden="1" customHeight="1" x14ac:dyDescent="0.25">
      <c r="A307" s="26" t="s">
        <v>62</v>
      </c>
      <c r="B307" s="26"/>
      <c r="C307" s="26"/>
      <c r="D307" s="26"/>
      <c r="E307" s="26"/>
      <c r="F307" s="26"/>
    </row>
    <row r="308" spans="1:6" hidden="1" x14ac:dyDescent="0.25">
      <c r="A308" s="7" t="s">
        <v>63</v>
      </c>
    </row>
    <row r="309" spans="1:6" hidden="1" x14ac:dyDescent="0.25">
      <c r="A309" s="8" t="s">
        <v>118</v>
      </c>
      <c r="B309" s="8" t="s">
        <v>119</v>
      </c>
      <c r="C309" s="8" t="s">
        <v>120</v>
      </c>
      <c r="D309" s="8" t="s">
        <v>121</v>
      </c>
      <c r="E309" s="8" t="s">
        <v>122</v>
      </c>
      <c r="F309" s="8" t="s">
        <v>123</v>
      </c>
    </row>
    <row r="310" spans="1:6" ht="18" hidden="1" customHeight="1" x14ac:dyDescent="0.25">
      <c r="A310" s="9">
        <v>45866</v>
      </c>
      <c r="B310" s="10">
        <v>11</v>
      </c>
      <c r="C310" s="11" t="s">
        <v>202</v>
      </c>
      <c r="D310" s="11" t="s">
        <v>286</v>
      </c>
      <c r="E310" s="11" t="s">
        <v>126</v>
      </c>
      <c r="F310" s="12" t="s">
        <v>134</v>
      </c>
    </row>
    <row r="311" spans="1:6" ht="27.95" hidden="1" customHeight="1" x14ac:dyDescent="0.25">
      <c r="A311" s="13">
        <v>46246</v>
      </c>
      <c r="B311" s="14">
        <v>37</v>
      </c>
      <c r="C311" s="15" t="s">
        <v>202</v>
      </c>
      <c r="D311" s="15" t="s">
        <v>286</v>
      </c>
      <c r="E311" s="15" t="s">
        <v>284</v>
      </c>
      <c r="F311" s="16" t="s">
        <v>144</v>
      </c>
    </row>
    <row r="312" spans="1:6" s="17" customFormat="1" ht="8.1" hidden="1" customHeight="1" x14ac:dyDescent="0.15"/>
    <row r="313" spans="1:6" ht="18" hidden="1" customHeight="1" x14ac:dyDescent="0.25">
      <c r="A313" s="26" t="s">
        <v>64</v>
      </c>
      <c r="B313" s="26"/>
      <c r="C313" s="26"/>
      <c r="D313" s="26"/>
      <c r="E313" s="26"/>
      <c r="F313" s="26"/>
    </row>
    <row r="314" spans="1:6" hidden="1" x14ac:dyDescent="0.25">
      <c r="A314" s="7" t="s">
        <v>65</v>
      </c>
    </row>
    <row r="315" spans="1:6" hidden="1" x14ac:dyDescent="0.25">
      <c r="A315" s="8" t="s">
        <v>118</v>
      </c>
      <c r="B315" s="8" t="s">
        <v>119</v>
      </c>
      <c r="C315" s="8" t="s">
        <v>120</v>
      </c>
      <c r="D315" s="8" t="s">
        <v>121</v>
      </c>
      <c r="E315" s="8" t="s">
        <v>122</v>
      </c>
      <c r="F315" s="8" t="s">
        <v>123</v>
      </c>
    </row>
    <row r="316" spans="1:6" ht="18" hidden="1" customHeight="1" x14ac:dyDescent="0.25">
      <c r="A316" s="9">
        <v>46056</v>
      </c>
      <c r="B316" s="10">
        <v>332</v>
      </c>
      <c r="C316" s="11" t="s">
        <v>282</v>
      </c>
      <c r="D316" s="11" t="s">
        <v>287</v>
      </c>
      <c r="E316" s="11"/>
      <c r="F316" s="12" t="s">
        <v>136</v>
      </c>
    </row>
    <row r="317" spans="1:6" ht="27.95" hidden="1" customHeight="1" x14ac:dyDescent="0.25">
      <c r="A317" s="13">
        <v>46246</v>
      </c>
      <c r="B317" s="14">
        <v>333</v>
      </c>
      <c r="C317" s="15" t="s">
        <v>282</v>
      </c>
      <c r="D317" s="15" t="s">
        <v>287</v>
      </c>
      <c r="E317" s="15"/>
      <c r="F317" s="16" t="s">
        <v>144</v>
      </c>
    </row>
    <row r="318" spans="1:6" s="17" customFormat="1" ht="8.1" hidden="1" customHeight="1" x14ac:dyDescent="0.15"/>
    <row r="319" spans="1:6" ht="18" hidden="1" customHeight="1" x14ac:dyDescent="0.25">
      <c r="A319" s="26" t="s">
        <v>66</v>
      </c>
      <c r="B319" s="26"/>
      <c r="C319" s="26"/>
      <c r="D319" s="26"/>
      <c r="E319" s="26"/>
      <c r="F319" s="26"/>
    </row>
    <row r="320" spans="1:6" hidden="1" x14ac:dyDescent="0.25">
      <c r="A320" s="7" t="s">
        <v>67</v>
      </c>
    </row>
    <row r="321" spans="1:6" hidden="1" x14ac:dyDescent="0.25">
      <c r="A321" s="8" t="s">
        <v>118</v>
      </c>
      <c r="B321" s="8" t="s">
        <v>119</v>
      </c>
      <c r="C321" s="8" t="s">
        <v>120</v>
      </c>
      <c r="D321" s="8" t="s">
        <v>121</v>
      </c>
      <c r="E321" s="8" t="s">
        <v>122</v>
      </c>
      <c r="F321" s="8" t="s">
        <v>123</v>
      </c>
    </row>
    <row r="322" spans="1:6" ht="18" hidden="1" customHeight="1" x14ac:dyDescent="0.25">
      <c r="A322" s="9">
        <v>44537</v>
      </c>
      <c r="B322" s="10">
        <v>29.9</v>
      </c>
      <c r="C322" s="11" t="s">
        <v>124</v>
      </c>
      <c r="D322" s="11" t="s">
        <v>288</v>
      </c>
      <c r="E322" s="11" t="s">
        <v>289</v>
      </c>
      <c r="F322" s="12" t="s">
        <v>130</v>
      </c>
    </row>
    <row r="323" spans="1:6" ht="27.95" hidden="1" customHeight="1" x14ac:dyDescent="0.25">
      <c r="A323" s="13">
        <v>45580</v>
      </c>
      <c r="B323" s="14">
        <v>28.9</v>
      </c>
      <c r="C323" s="15" t="s">
        <v>124</v>
      </c>
      <c r="D323" s="15" t="s">
        <v>288</v>
      </c>
      <c r="E323" s="15" t="s">
        <v>289</v>
      </c>
      <c r="F323" s="16" t="s">
        <v>132</v>
      </c>
    </row>
    <row r="324" spans="1:6" ht="27.95" hidden="1" customHeight="1" x14ac:dyDescent="0.25">
      <c r="A324" s="9">
        <v>46246</v>
      </c>
      <c r="B324" s="10">
        <v>28.2</v>
      </c>
      <c r="C324" s="11" t="s">
        <v>124</v>
      </c>
      <c r="D324" s="11" t="s">
        <v>288</v>
      </c>
      <c r="E324" s="11" t="s">
        <v>290</v>
      </c>
      <c r="F324" s="12" t="s">
        <v>144</v>
      </c>
    </row>
    <row r="325" spans="1:6" s="17" customFormat="1" ht="8.1" hidden="1" customHeight="1" x14ac:dyDescent="0.15"/>
    <row r="326" spans="1:6" ht="18" hidden="1" customHeight="1" x14ac:dyDescent="0.25">
      <c r="A326" s="26" t="s">
        <v>68</v>
      </c>
      <c r="B326" s="26"/>
      <c r="C326" s="26"/>
      <c r="D326" s="26"/>
      <c r="E326" s="26"/>
      <c r="F326" s="26"/>
    </row>
    <row r="327" spans="1:6" hidden="1" x14ac:dyDescent="0.25">
      <c r="A327" s="7" t="s">
        <v>69</v>
      </c>
    </row>
    <row r="328" spans="1:6" hidden="1" x14ac:dyDescent="0.25">
      <c r="A328" s="8" t="s">
        <v>118</v>
      </c>
      <c r="B328" s="8" t="s">
        <v>119</v>
      </c>
      <c r="C328" s="8" t="s">
        <v>120</v>
      </c>
      <c r="D328" s="8" t="s">
        <v>121</v>
      </c>
      <c r="E328" s="8" t="s">
        <v>122</v>
      </c>
      <c r="F328" s="8" t="s">
        <v>123</v>
      </c>
    </row>
    <row r="329" spans="1:6" ht="18" hidden="1" customHeight="1" x14ac:dyDescent="0.25">
      <c r="A329" s="9">
        <v>45805</v>
      </c>
      <c r="B329" s="10">
        <v>672</v>
      </c>
      <c r="C329" s="11" t="s">
        <v>291</v>
      </c>
      <c r="D329" s="11" t="s">
        <v>292</v>
      </c>
      <c r="E329" s="11" t="s">
        <v>179</v>
      </c>
      <c r="F329" s="12" t="s">
        <v>193</v>
      </c>
    </row>
    <row r="330" spans="1:6" s="17" customFormat="1" ht="8.1" hidden="1" customHeight="1" x14ac:dyDescent="0.15"/>
    <row r="331" spans="1:6" ht="20.100000000000001" hidden="1" customHeight="1" x14ac:dyDescent="0.25">
      <c r="A331" s="25" t="s">
        <v>70</v>
      </c>
      <c r="B331" s="25"/>
      <c r="C331" s="25"/>
      <c r="D331" s="25"/>
      <c r="E331" s="25"/>
      <c r="F331" s="25"/>
    </row>
    <row r="332" spans="1:6" ht="18" hidden="1" customHeight="1" x14ac:dyDescent="0.25">
      <c r="A332" s="26" t="s">
        <v>71</v>
      </c>
      <c r="B332" s="26"/>
      <c r="C332" s="26"/>
      <c r="D332" s="26"/>
      <c r="E332" s="26"/>
      <c r="F332" s="26"/>
    </row>
    <row r="333" spans="1:6" hidden="1" x14ac:dyDescent="0.25">
      <c r="A333" s="7" t="s">
        <v>72</v>
      </c>
    </row>
    <row r="334" spans="1:6" hidden="1" x14ac:dyDescent="0.25">
      <c r="A334" s="8" t="s">
        <v>118</v>
      </c>
      <c r="B334" s="8" t="s">
        <v>119</v>
      </c>
      <c r="C334" s="8" t="s">
        <v>120</v>
      </c>
      <c r="D334" s="8" t="s">
        <v>121</v>
      </c>
      <c r="E334" s="8" t="s">
        <v>122</v>
      </c>
      <c r="F334" s="8" t="s">
        <v>123</v>
      </c>
    </row>
    <row r="335" spans="1:6" ht="18" hidden="1" customHeight="1" x14ac:dyDescent="0.25">
      <c r="A335" s="9">
        <v>44306</v>
      </c>
      <c r="B335" s="10">
        <v>94</v>
      </c>
      <c r="C335" s="11" t="s">
        <v>293</v>
      </c>
      <c r="D335" s="11" t="s">
        <v>294</v>
      </c>
      <c r="E335" s="11"/>
      <c r="F335" s="12" t="s">
        <v>127</v>
      </c>
    </row>
    <row r="336" spans="1:6" ht="18" hidden="1" customHeight="1" x14ac:dyDescent="0.25">
      <c r="A336" s="13">
        <v>44537</v>
      </c>
      <c r="B336" s="14">
        <v>60</v>
      </c>
      <c r="C336" s="15" t="s">
        <v>293</v>
      </c>
      <c r="D336" s="15" t="s">
        <v>294</v>
      </c>
      <c r="E336" s="15" t="s">
        <v>129</v>
      </c>
      <c r="F336" s="16" t="s">
        <v>130</v>
      </c>
    </row>
    <row r="337" spans="1:6" ht="18" hidden="1" customHeight="1" x14ac:dyDescent="0.25">
      <c r="A337" s="9">
        <v>44623</v>
      </c>
      <c r="B337" s="10">
        <v>97</v>
      </c>
      <c r="C337" s="11" t="s">
        <v>293</v>
      </c>
      <c r="D337" s="11" t="s">
        <v>295</v>
      </c>
      <c r="E337" s="11" t="s">
        <v>296</v>
      </c>
      <c r="F337" s="12" t="s">
        <v>191</v>
      </c>
    </row>
    <row r="338" spans="1:6" ht="27.95" hidden="1" customHeight="1" x14ac:dyDescent="0.25">
      <c r="A338" s="13">
        <v>45580</v>
      </c>
      <c r="B338" s="14">
        <v>87</v>
      </c>
      <c r="C338" s="15" t="s">
        <v>293</v>
      </c>
      <c r="D338" s="15" t="s">
        <v>294</v>
      </c>
      <c r="E338" s="15"/>
      <c r="F338" s="16" t="s">
        <v>132</v>
      </c>
    </row>
    <row r="339" spans="1:6" ht="18" hidden="1" customHeight="1" x14ac:dyDescent="0.25">
      <c r="A339" s="9">
        <v>45866</v>
      </c>
      <c r="B339" s="10">
        <v>77</v>
      </c>
      <c r="C339" s="11" t="s">
        <v>293</v>
      </c>
      <c r="D339" s="11" t="s">
        <v>294</v>
      </c>
      <c r="E339" s="11"/>
      <c r="F339" s="12" t="s">
        <v>134</v>
      </c>
    </row>
    <row r="340" spans="1:6" ht="18" hidden="1" customHeight="1" x14ac:dyDescent="0.25">
      <c r="A340" s="13">
        <v>46056</v>
      </c>
      <c r="B340" s="14">
        <v>82</v>
      </c>
      <c r="C340" s="15" t="s">
        <v>293</v>
      </c>
      <c r="D340" s="15" t="s">
        <v>294</v>
      </c>
      <c r="E340" s="15"/>
      <c r="F340" s="16" t="s">
        <v>136</v>
      </c>
    </row>
    <row r="341" spans="1:6" ht="27.95" hidden="1" customHeight="1" x14ac:dyDescent="0.25">
      <c r="A341" s="9">
        <v>46246</v>
      </c>
      <c r="B341" s="10">
        <v>80</v>
      </c>
      <c r="C341" s="11" t="s">
        <v>293</v>
      </c>
      <c r="D341" s="11" t="s">
        <v>294</v>
      </c>
      <c r="E341" s="11"/>
      <c r="F341" s="12" t="s">
        <v>144</v>
      </c>
    </row>
    <row r="342" spans="1:6" s="17" customFormat="1" ht="8.1" hidden="1" customHeight="1" x14ac:dyDescent="0.15"/>
    <row r="343" spans="1:6" ht="18" hidden="1" customHeight="1" x14ac:dyDescent="0.25">
      <c r="A343" s="26" t="s">
        <v>73</v>
      </c>
      <c r="B343" s="26"/>
      <c r="C343" s="26"/>
      <c r="D343" s="26"/>
      <c r="E343" s="26"/>
      <c r="F343" s="26"/>
    </row>
    <row r="344" spans="1:6" hidden="1" x14ac:dyDescent="0.25">
      <c r="A344" s="7" t="s">
        <v>74</v>
      </c>
    </row>
    <row r="345" spans="1:6" hidden="1" x14ac:dyDescent="0.25">
      <c r="A345" s="8" t="s">
        <v>118</v>
      </c>
      <c r="B345" s="8" t="s">
        <v>297</v>
      </c>
      <c r="C345" s="8" t="s">
        <v>298</v>
      </c>
      <c r="D345" s="8" t="s">
        <v>216</v>
      </c>
      <c r="E345" s="8" t="s">
        <v>122</v>
      </c>
      <c r="F345" s="8" t="s">
        <v>123</v>
      </c>
    </row>
    <row r="346" spans="1:6" ht="27.95" hidden="1" customHeight="1" x14ac:dyDescent="0.25">
      <c r="A346" s="9">
        <v>44121</v>
      </c>
      <c r="B346" s="10">
        <v>135</v>
      </c>
      <c r="C346" s="10">
        <v>5.0999999999999996</v>
      </c>
      <c r="D346" s="11" t="s">
        <v>299</v>
      </c>
      <c r="E346" s="11" t="s">
        <v>300</v>
      </c>
      <c r="F346" s="12" t="s">
        <v>185</v>
      </c>
    </row>
    <row r="347" spans="1:6" ht="18" hidden="1" customHeight="1" x14ac:dyDescent="0.25">
      <c r="A347" s="13">
        <v>44306</v>
      </c>
      <c r="B347" s="14">
        <v>136</v>
      </c>
      <c r="C347" s="14">
        <v>4.9000000000000004</v>
      </c>
      <c r="D347" s="15" t="s">
        <v>299</v>
      </c>
      <c r="E347" s="15"/>
      <c r="F347" s="16" t="s">
        <v>127</v>
      </c>
    </row>
    <row r="348" spans="1:6" ht="18" hidden="1" customHeight="1" x14ac:dyDescent="0.25">
      <c r="A348" s="9">
        <v>44537</v>
      </c>
      <c r="B348" s="10">
        <v>138</v>
      </c>
      <c r="C348" s="10">
        <v>5.0999999999999996</v>
      </c>
      <c r="D348" s="11" t="s">
        <v>299</v>
      </c>
      <c r="E348" s="11" t="s">
        <v>301</v>
      </c>
      <c r="F348" s="12" t="s">
        <v>130</v>
      </c>
    </row>
    <row r="349" spans="1:6" ht="18" hidden="1" customHeight="1" x14ac:dyDescent="0.25">
      <c r="A349" s="13">
        <v>44623</v>
      </c>
      <c r="B349" s="14">
        <v>134</v>
      </c>
      <c r="C349" s="14">
        <v>3.8</v>
      </c>
      <c r="D349" s="15" t="s">
        <v>299</v>
      </c>
      <c r="E349" s="15" t="s">
        <v>302</v>
      </c>
      <c r="F349" s="16" t="s">
        <v>191</v>
      </c>
    </row>
    <row r="350" spans="1:6" s="17" customFormat="1" ht="8.1" hidden="1" customHeight="1" x14ac:dyDescent="0.15"/>
    <row r="351" spans="1:6" ht="18" hidden="1" customHeight="1" x14ac:dyDescent="0.25">
      <c r="A351" s="26" t="s">
        <v>75</v>
      </c>
      <c r="B351" s="26"/>
      <c r="C351" s="26"/>
      <c r="D351" s="26"/>
      <c r="E351" s="26"/>
      <c r="F351" s="26"/>
    </row>
    <row r="352" spans="1:6" hidden="1" x14ac:dyDescent="0.25">
      <c r="A352" s="7" t="s">
        <v>76</v>
      </c>
    </row>
    <row r="353" spans="1:6" hidden="1" x14ac:dyDescent="0.25">
      <c r="A353" s="8" t="s">
        <v>118</v>
      </c>
      <c r="B353" s="8" t="s">
        <v>119</v>
      </c>
      <c r="C353" s="8" t="s">
        <v>120</v>
      </c>
      <c r="D353" s="8" t="s">
        <v>121</v>
      </c>
      <c r="E353" s="8" t="s">
        <v>122</v>
      </c>
      <c r="F353" s="8" t="s">
        <v>123</v>
      </c>
    </row>
    <row r="354" spans="1:6" ht="18" hidden="1" customHeight="1" x14ac:dyDescent="0.25">
      <c r="A354" s="9">
        <v>44623</v>
      </c>
      <c r="B354" s="10">
        <v>1.325</v>
      </c>
      <c r="C354" s="11" t="s">
        <v>303</v>
      </c>
      <c r="D354" s="11" t="s">
        <v>304</v>
      </c>
      <c r="E354" s="11" t="s">
        <v>305</v>
      </c>
      <c r="F354" s="12" t="s">
        <v>191</v>
      </c>
    </row>
    <row r="355" spans="1:6" ht="27.95" hidden="1" customHeight="1" x14ac:dyDescent="0.25">
      <c r="A355" s="13">
        <v>45580</v>
      </c>
      <c r="B355" s="14">
        <v>1.23</v>
      </c>
      <c r="C355" s="15" t="s">
        <v>303</v>
      </c>
      <c r="D355" s="15" t="s">
        <v>306</v>
      </c>
      <c r="E355" s="15"/>
      <c r="F355" s="16" t="s">
        <v>132</v>
      </c>
    </row>
    <row r="356" spans="1:6" s="17" customFormat="1" ht="8.1" hidden="1" customHeight="1" x14ac:dyDescent="0.15"/>
    <row r="357" spans="1:6" ht="18" hidden="1" customHeight="1" x14ac:dyDescent="0.25">
      <c r="A357" s="26" t="s">
        <v>77</v>
      </c>
      <c r="B357" s="26"/>
      <c r="C357" s="26"/>
      <c r="D357" s="26"/>
      <c r="E357" s="26"/>
      <c r="F357" s="26"/>
    </row>
    <row r="358" spans="1:6" hidden="1" x14ac:dyDescent="0.25">
      <c r="A358" s="7" t="s">
        <v>78</v>
      </c>
    </row>
    <row r="359" spans="1:6" hidden="1" x14ac:dyDescent="0.25">
      <c r="A359" s="8" t="s">
        <v>118</v>
      </c>
      <c r="B359" s="8" t="s">
        <v>307</v>
      </c>
      <c r="C359" s="8" t="s">
        <v>308</v>
      </c>
      <c r="D359" s="8" t="s">
        <v>309</v>
      </c>
      <c r="E359" s="8" t="s">
        <v>122</v>
      </c>
      <c r="F359" s="8" t="s">
        <v>123</v>
      </c>
    </row>
    <row r="360" spans="1:6" ht="18" hidden="1" customHeight="1" x14ac:dyDescent="0.25">
      <c r="A360" s="9">
        <v>44623</v>
      </c>
      <c r="B360" s="10">
        <v>7.4930000000000003</v>
      </c>
      <c r="C360" s="11" t="s">
        <v>310</v>
      </c>
      <c r="D360" s="11" t="s">
        <v>311</v>
      </c>
      <c r="E360" s="11" t="s">
        <v>312</v>
      </c>
      <c r="F360" s="12" t="s">
        <v>191</v>
      </c>
    </row>
    <row r="361" spans="1:6" s="17" customFormat="1" ht="8.1" hidden="1" customHeight="1" x14ac:dyDescent="0.15"/>
    <row r="362" spans="1:6" ht="18" hidden="1" customHeight="1" x14ac:dyDescent="0.25">
      <c r="A362" s="26" t="s">
        <v>79</v>
      </c>
      <c r="B362" s="26"/>
      <c r="C362" s="26"/>
      <c r="D362" s="26"/>
      <c r="E362" s="26"/>
      <c r="F362" s="26"/>
    </row>
    <row r="363" spans="1:6" hidden="1" x14ac:dyDescent="0.25">
      <c r="A363" s="7" t="s">
        <v>80</v>
      </c>
    </row>
    <row r="364" spans="1:6" hidden="1" x14ac:dyDescent="0.25">
      <c r="A364" s="8" t="s">
        <v>118</v>
      </c>
      <c r="B364" s="8" t="s">
        <v>119</v>
      </c>
      <c r="C364" s="8" t="s">
        <v>120</v>
      </c>
      <c r="D364" s="8" t="s">
        <v>121</v>
      </c>
      <c r="E364" s="8" t="s">
        <v>122</v>
      </c>
      <c r="F364" s="8" t="s">
        <v>123</v>
      </c>
    </row>
    <row r="365" spans="1:6" ht="18" hidden="1" customHeight="1" x14ac:dyDescent="0.25">
      <c r="A365" s="9">
        <v>44306</v>
      </c>
      <c r="B365" s="10">
        <v>22.8</v>
      </c>
      <c r="C365" s="11" t="s">
        <v>282</v>
      </c>
      <c r="D365" s="11" t="s">
        <v>313</v>
      </c>
      <c r="E365" s="11" t="s">
        <v>285</v>
      </c>
      <c r="F365" s="12" t="s">
        <v>127</v>
      </c>
    </row>
    <row r="366" spans="1:6" ht="18" hidden="1" customHeight="1" x14ac:dyDescent="0.25">
      <c r="A366" s="13">
        <v>44537</v>
      </c>
      <c r="B366" s="14">
        <v>26.3</v>
      </c>
      <c r="C366" s="15" t="s">
        <v>282</v>
      </c>
      <c r="D366" s="15" t="s">
        <v>313</v>
      </c>
      <c r="E366" s="15" t="s">
        <v>314</v>
      </c>
      <c r="F366" s="16" t="s">
        <v>130</v>
      </c>
    </row>
    <row r="367" spans="1:6" ht="27.95" hidden="1" customHeight="1" x14ac:dyDescent="0.25">
      <c r="A367" s="9">
        <v>45580</v>
      </c>
      <c r="B367" s="10">
        <v>9.5</v>
      </c>
      <c r="C367" s="11" t="s">
        <v>282</v>
      </c>
      <c r="D367" s="11" t="s">
        <v>313</v>
      </c>
      <c r="E367" s="11" t="s">
        <v>179</v>
      </c>
      <c r="F367" s="12" t="s">
        <v>132</v>
      </c>
    </row>
    <row r="368" spans="1:6" s="17" customFormat="1" ht="8.1" hidden="1" customHeight="1" x14ac:dyDescent="0.15"/>
    <row r="369" spans="1:6" ht="18" hidden="1" customHeight="1" x14ac:dyDescent="0.25">
      <c r="A369" s="26" t="s">
        <v>81</v>
      </c>
      <c r="B369" s="26"/>
      <c r="C369" s="26"/>
      <c r="D369" s="26"/>
      <c r="E369" s="26"/>
      <c r="F369" s="26"/>
    </row>
    <row r="370" spans="1:6" hidden="1" x14ac:dyDescent="0.25">
      <c r="A370" s="7" t="s">
        <v>82</v>
      </c>
    </row>
    <row r="371" spans="1:6" hidden="1" x14ac:dyDescent="0.25">
      <c r="A371" s="8" t="s">
        <v>118</v>
      </c>
      <c r="B371" s="8" t="s">
        <v>119</v>
      </c>
      <c r="C371" s="8" t="s">
        <v>120</v>
      </c>
      <c r="D371" s="8" t="s">
        <v>121</v>
      </c>
      <c r="E371" s="8" t="s">
        <v>122</v>
      </c>
      <c r="F371" s="8" t="s">
        <v>123</v>
      </c>
    </row>
    <row r="372" spans="1:6" ht="18" hidden="1" customHeight="1" x14ac:dyDescent="0.25">
      <c r="A372" s="9">
        <v>44306</v>
      </c>
      <c r="B372" s="10">
        <v>0.16</v>
      </c>
      <c r="C372" s="11" t="s">
        <v>293</v>
      </c>
      <c r="D372" s="11" t="s">
        <v>315</v>
      </c>
      <c r="E372" s="11" t="s">
        <v>316</v>
      </c>
      <c r="F372" s="12" t="s">
        <v>127</v>
      </c>
    </row>
    <row r="373" spans="1:6" ht="18" hidden="1" customHeight="1" x14ac:dyDescent="0.25">
      <c r="A373" s="13">
        <v>44537</v>
      </c>
      <c r="B373" s="14">
        <v>0.18</v>
      </c>
      <c r="C373" s="15" t="s">
        <v>293</v>
      </c>
      <c r="D373" s="15" t="s">
        <v>317</v>
      </c>
      <c r="E373" s="15" t="s">
        <v>253</v>
      </c>
      <c r="F373" s="16" t="s">
        <v>130</v>
      </c>
    </row>
    <row r="374" spans="1:6" ht="27.95" hidden="1" customHeight="1" x14ac:dyDescent="0.25">
      <c r="A374" s="9">
        <v>45580</v>
      </c>
      <c r="B374" s="10">
        <v>0.22</v>
      </c>
      <c r="C374" s="11" t="s">
        <v>293</v>
      </c>
      <c r="D374" s="11" t="s">
        <v>317</v>
      </c>
      <c r="E374" s="11"/>
      <c r="F374" s="12" t="s">
        <v>132</v>
      </c>
    </row>
    <row r="375" spans="1:6" ht="27.95" hidden="1" customHeight="1" x14ac:dyDescent="0.25">
      <c r="A375" s="13">
        <v>46246</v>
      </c>
      <c r="B375" s="14">
        <v>0.28000000000000003</v>
      </c>
      <c r="C375" s="15" t="s">
        <v>293</v>
      </c>
      <c r="D375" s="15" t="s">
        <v>318</v>
      </c>
      <c r="E375" s="15" t="s">
        <v>126</v>
      </c>
      <c r="F375" s="16" t="s">
        <v>144</v>
      </c>
    </row>
    <row r="376" spans="1:6" s="17" customFormat="1" ht="8.1" hidden="1" customHeight="1" x14ac:dyDescent="0.15"/>
    <row r="377" spans="1:6" ht="18" hidden="1" customHeight="1" x14ac:dyDescent="0.25">
      <c r="A377" s="26" t="s">
        <v>83</v>
      </c>
      <c r="B377" s="26"/>
      <c r="C377" s="26"/>
      <c r="D377" s="26"/>
      <c r="E377" s="26"/>
      <c r="F377" s="26"/>
    </row>
    <row r="378" spans="1:6" hidden="1" x14ac:dyDescent="0.25">
      <c r="A378" s="7" t="s">
        <v>82</v>
      </c>
    </row>
    <row r="379" spans="1:6" hidden="1" x14ac:dyDescent="0.25">
      <c r="A379" s="8" t="s">
        <v>118</v>
      </c>
      <c r="B379" s="8" t="s">
        <v>119</v>
      </c>
      <c r="C379" s="8" t="s">
        <v>120</v>
      </c>
      <c r="D379" s="8" t="s">
        <v>121</v>
      </c>
      <c r="E379" s="8" t="s">
        <v>122</v>
      </c>
      <c r="F379" s="8" t="s">
        <v>123</v>
      </c>
    </row>
    <row r="380" spans="1:6" ht="18" hidden="1" customHeight="1" x14ac:dyDescent="0.25">
      <c r="A380" s="9">
        <v>44306</v>
      </c>
      <c r="B380" s="10">
        <v>14</v>
      </c>
      <c r="C380" s="11" t="s">
        <v>293</v>
      </c>
      <c r="D380" s="11" t="s">
        <v>319</v>
      </c>
      <c r="E380" s="11"/>
      <c r="F380" s="12" t="s">
        <v>127</v>
      </c>
    </row>
    <row r="381" spans="1:6" ht="27.95" hidden="1" customHeight="1" x14ac:dyDescent="0.25">
      <c r="A381" s="13">
        <v>46246</v>
      </c>
      <c r="B381" s="14">
        <v>27.8</v>
      </c>
      <c r="C381" s="15" t="s">
        <v>293</v>
      </c>
      <c r="D381" s="15" t="s">
        <v>319</v>
      </c>
      <c r="E381" s="15"/>
      <c r="F381" s="16" t="s">
        <v>144</v>
      </c>
    </row>
    <row r="382" spans="1:6" s="17" customFormat="1" ht="8.1" hidden="1" customHeight="1" x14ac:dyDescent="0.15"/>
    <row r="383" spans="1:6" ht="18" hidden="1" customHeight="1" x14ac:dyDescent="0.25">
      <c r="A383" s="26" t="s">
        <v>84</v>
      </c>
      <c r="B383" s="26"/>
      <c r="C383" s="26"/>
      <c r="D383" s="26"/>
      <c r="E383" s="26"/>
      <c r="F383" s="26"/>
    </row>
    <row r="384" spans="1:6" hidden="1" x14ac:dyDescent="0.25">
      <c r="A384" s="7" t="s">
        <v>85</v>
      </c>
    </row>
    <row r="385" spans="1:6" hidden="1" x14ac:dyDescent="0.25">
      <c r="A385" s="8" t="s">
        <v>118</v>
      </c>
      <c r="B385" s="8" t="s">
        <v>119</v>
      </c>
      <c r="C385" s="8" t="s">
        <v>120</v>
      </c>
      <c r="D385" s="8" t="s">
        <v>121</v>
      </c>
      <c r="E385" s="8" t="s">
        <v>122</v>
      </c>
      <c r="F385" s="8" t="s">
        <v>123</v>
      </c>
    </row>
    <row r="386" spans="1:6" ht="18" hidden="1" customHeight="1" x14ac:dyDescent="0.25">
      <c r="A386" s="9">
        <v>44537</v>
      </c>
      <c r="B386" s="10">
        <v>5.0999999999999996</v>
      </c>
      <c r="C386" s="11" t="s">
        <v>293</v>
      </c>
      <c r="D386" s="11" t="s">
        <v>320</v>
      </c>
      <c r="E386" s="11"/>
      <c r="F386" s="12" t="s">
        <v>130</v>
      </c>
    </row>
    <row r="387" spans="1:6" ht="27.95" hidden="1" customHeight="1" x14ac:dyDescent="0.25">
      <c r="A387" s="13">
        <v>45580</v>
      </c>
      <c r="B387" s="14">
        <v>5.2</v>
      </c>
      <c r="C387" s="15" t="s">
        <v>293</v>
      </c>
      <c r="D387" s="15" t="s">
        <v>320</v>
      </c>
      <c r="E387" s="15"/>
      <c r="F387" s="16" t="s">
        <v>132</v>
      </c>
    </row>
    <row r="388" spans="1:6" s="17" customFormat="1" ht="8.1" hidden="1" customHeight="1" x14ac:dyDescent="0.15"/>
    <row r="389" spans="1:6" ht="18" hidden="1" customHeight="1" x14ac:dyDescent="0.25">
      <c r="A389" s="26" t="s">
        <v>86</v>
      </c>
      <c r="B389" s="26"/>
      <c r="C389" s="26"/>
      <c r="D389" s="26"/>
      <c r="E389" s="26"/>
      <c r="F389" s="26"/>
    </row>
    <row r="390" spans="1:6" hidden="1" x14ac:dyDescent="0.25">
      <c r="A390" s="7" t="s">
        <v>87</v>
      </c>
    </row>
    <row r="391" spans="1:6" hidden="1" x14ac:dyDescent="0.25">
      <c r="A391" s="8" t="s">
        <v>118</v>
      </c>
      <c r="B391" s="8" t="s">
        <v>119</v>
      </c>
      <c r="C391" s="8" t="s">
        <v>120</v>
      </c>
      <c r="D391" s="8" t="s">
        <v>121</v>
      </c>
      <c r="E391" s="8" t="s">
        <v>122</v>
      </c>
      <c r="F391" s="8" t="s">
        <v>123</v>
      </c>
    </row>
    <row r="392" spans="1:6" ht="27.95" hidden="1" customHeight="1" x14ac:dyDescent="0.25">
      <c r="A392" s="9">
        <v>45580</v>
      </c>
      <c r="B392" s="10">
        <v>104.7</v>
      </c>
      <c r="C392" s="11" t="s">
        <v>321</v>
      </c>
      <c r="D392" s="11" t="s">
        <v>322</v>
      </c>
      <c r="E392" s="11"/>
      <c r="F392" s="12" t="s">
        <v>132</v>
      </c>
    </row>
    <row r="393" spans="1:6" ht="18" hidden="1" customHeight="1" x14ac:dyDescent="0.25">
      <c r="A393" s="13">
        <v>46056</v>
      </c>
      <c r="B393" s="14">
        <v>120.3</v>
      </c>
      <c r="C393" s="15" t="s">
        <v>321</v>
      </c>
      <c r="D393" s="15" t="s">
        <v>323</v>
      </c>
      <c r="E393" s="15"/>
      <c r="F393" s="16" t="s">
        <v>136</v>
      </c>
    </row>
    <row r="394" spans="1:6" s="17" customFormat="1" ht="8.1" hidden="1" customHeight="1" x14ac:dyDescent="0.15"/>
    <row r="395" spans="1:6" ht="18" hidden="1" customHeight="1" x14ac:dyDescent="0.25">
      <c r="A395" s="26" t="s">
        <v>88</v>
      </c>
      <c r="B395" s="26"/>
      <c r="C395" s="26"/>
      <c r="D395" s="26"/>
      <c r="E395" s="26"/>
      <c r="F395" s="26"/>
    </row>
    <row r="396" spans="1:6" hidden="1" x14ac:dyDescent="0.25">
      <c r="A396" s="7" t="s">
        <v>89</v>
      </c>
    </row>
    <row r="397" spans="1:6" hidden="1" x14ac:dyDescent="0.25">
      <c r="A397" s="8" t="s">
        <v>118</v>
      </c>
      <c r="B397" s="8" t="s">
        <v>119</v>
      </c>
      <c r="C397" s="8" t="s">
        <v>120</v>
      </c>
      <c r="D397" s="8" t="s">
        <v>121</v>
      </c>
      <c r="E397" s="8" t="s">
        <v>122</v>
      </c>
      <c r="F397" s="8" t="s">
        <v>123</v>
      </c>
    </row>
    <row r="398" spans="1:6" ht="18" hidden="1" customHeight="1" x14ac:dyDescent="0.25">
      <c r="A398" s="9">
        <v>44548</v>
      </c>
      <c r="B398" s="10">
        <v>514</v>
      </c>
      <c r="C398" s="11" t="s">
        <v>324</v>
      </c>
      <c r="D398" s="11" t="s">
        <v>325</v>
      </c>
      <c r="E398" s="11" t="s">
        <v>197</v>
      </c>
      <c r="F398" s="12" t="s">
        <v>130</v>
      </c>
    </row>
    <row r="399" spans="1:6" ht="27.95" hidden="1" customHeight="1" x14ac:dyDescent="0.25">
      <c r="A399" s="13">
        <v>45580</v>
      </c>
      <c r="B399" s="14">
        <v>228</v>
      </c>
      <c r="C399" s="15" t="s">
        <v>324</v>
      </c>
      <c r="D399" s="15" t="s">
        <v>326</v>
      </c>
      <c r="E399" s="15"/>
      <c r="F399" s="16" t="s">
        <v>132</v>
      </c>
    </row>
    <row r="400" spans="1:6" s="17" customFormat="1" ht="8.1" hidden="1" customHeight="1" x14ac:dyDescent="0.15"/>
    <row r="401" spans="1:6" ht="18" hidden="1" customHeight="1" x14ac:dyDescent="0.25">
      <c r="A401" s="26" t="s">
        <v>90</v>
      </c>
      <c r="B401" s="26"/>
      <c r="C401" s="26"/>
      <c r="D401" s="26"/>
      <c r="E401" s="26"/>
      <c r="F401" s="26"/>
    </row>
    <row r="402" spans="1:6" hidden="1" x14ac:dyDescent="0.25">
      <c r="A402" s="7" t="s">
        <v>91</v>
      </c>
    </row>
    <row r="403" spans="1:6" hidden="1" x14ac:dyDescent="0.25">
      <c r="A403" s="8" t="s">
        <v>118</v>
      </c>
      <c r="B403" s="8" t="s">
        <v>119</v>
      </c>
      <c r="C403" s="8" t="s">
        <v>120</v>
      </c>
      <c r="D403" s="8" t="s">
        <v>121</v>
      </c>
      <c r="E403" s="8" t="s">
        <v>122</v>
      </c>
      <c r="F403" s="8" t="s">
        <v>123</v>
      </c>
    </row>
    <row r="404" spans="1:6" ht="18" hidden="1" customHeight="1" x14ac:dyDescent="0.25">
      <c r="A404" s="9">
        <v>44548</v>
      </c>
      <c r="B404" s="10">
        <v>13.4</v>
      </c>
      <c r="C404" s="11" t="s">
        <v>324</v>
      </c>
      <c r="D404" s="11" t="s">
        <v>327</v>
      </c>
      <c r="E404" s="11"/>
      <c r="F404" s="12" t="s">
        <v>328</v>
      </c>
    </row>
    <row r="405" spans="1:6" ht="27.95" hidden="1" customHeight="1" x14ac:dyDescent="0.25">
      <c r="A405" s="13">
        <v>45580</v>
      </c>
      <c r="B405" s="14">
        <v>15</v>
      </c>
      <c r="C405" s="15" t="s">
        <v>324</v>
      </c>
      <c r="D405" s="15" t="s">
        <v>327</v>
      </c>
      <c r="E405" s="15"/>
      <c r="F405" s="16" t="s">
        <v>132</v>
      </c>
    </row>
    <row r="406" spans="1:6" s="17" customFormat="1" ht="8.1" hidden="1" customHeight="1" x14ac:dyDescent="0.15"/>
    <row r="407" spans="1:6" ht="18" hidden="1" customHeight="1" x14ac:dyDescent="0.25">
      <c r="A407" s="26" t="s">
        <v>92</v>
      </c>
      <c r="B407" s="26"/>
      <c r="C407" s="26"/>
      <c r="D407" s="26"/>
      <c r="E407" s="26"/>
      <c r="F407" s="26"/>
    </row>
    <row r="408" spans="1:6" hidden="1" x14ac:dyDescent="0.25">
      <c r="A408" s="7" t="s">
        <v>93</v>
      </c>
    </row>
    <row r="409" spans="1:6" hidden="1" x14ac:dyDescent="0.25">
      <c r="A409" s="8" t="s">
        <v>118</v>
      </c>
      <c r="B409" s="8" t="s">
        <v>329</v>
      </c>
      <c r="C409" s="8" t="s">
        <v>330</v>
      </c>
      <c r="D409" s="8" t="s">
        <v>216</v>
      </c>
      <c r="E409" s="8" t="s">
        <v>122</v>
      </c>
      <c r="F409" s="8" t="s">
        <v>123</v>
      </c>
    </row>
    <row r="410" spans="1:6" ht="18" hidden="1" customHeight="1" x14ac:dyDescent="0.25">
      <c r="A410" s="9">
        <v>44306</v>
      </c>
      <c r="B410" s="10">
        <v>40</v>
      </c>
      <c r="C410" s="10">
        <v>18</v>
      </c>
      <c r="D410" s="11" t="s">
        <v>331</v>
      </c>
      <c r="E410" s="11" t="s">
        <v>332</v>
      </c>
      <c r="F410" s="12" t="s">
        <v>127</v>
      </c>
    </row>
    <row r="411" spans="1:6" ht="18" hidden="1" customHeight="1" x14ac:dyDescent="0.25">
      <c r="A411" s="13">
        <v>44548</v>
      </c>
      <c r="B411" s="14">
        <v>32</v>
      </c>
      <c r="C411" s="14">
        <v>17</v>
      </c>
      <c r="D411" s="15" t="s">
        <v>331</v>
      </c>
      <c r="E411" s="15"/>
      <c r="F411" s="16" t="s">
        <v>328</v>
      </c>
    </row>
    <row r="412" spans="1:6" ht="27.95" hidden="1" customHeight="1" x14ac:dyDescent="0.25">
      <c r="A412" s="9">
        <v>45580</v>
      </c>
      <c r="B412" s="10">
        <v>22</v>
      </c>
      <c r="C412" s="10">
        <v>15</v>
      </c>
      <c r="D412" s="11" t="s">
        <v>331</v>
      </c>
      <c r="E412" s="11"/>
      <c r="F412" s="12" t="s">
        <v>132</v>
      </c>
    </row>
    <row r="413" spans="1:6" ht="18" hidden="1" customHeight="1" x14ac:dyDescent="0.25">
      <c r="A413" s="13">
        <v>45866</v>
      </c>
      <c r="B413" s="14">
        <v>29</v>
      </c>
      <c r="C413" s="14">
        <v>20</v>
      </c>
      <c r="D413" s="15" t="s">
        <v>331</v>
      </c>
      <c r="E413" s="15"/>
      <c r="F413" s="16" t="s">
        <v>134</v>
      </c>
    </row>
    <row r="414" spans="1:6" ht="27.95" hidden="1" customHeight="1" x14ac:dyDescent="0.25">
      <c r="A414" s="9">
        <v>46246</v>
      </c>
      <c r="B414" s="10">
        <v>20</v>
      </c>
      <c r="C414" s="10">
        <v>15</v>
      </c>
      <c r="D414" s="11" t="s">
        <v>333</v>
      </c>
      <c r="E414" s="11" t="s">
        <v>334</v>
      </c>
      <c r="F414" s="12" t="s">
        <v>144</v>
      </c>
    </row>
    <row r="415" spans="1:6" s="17" customFormat="1" ht="8.1" hidden="1" customHeight="1" x14ac:dyDescent="0.15"/>
    <row r="416" spans="1:6" ht="18" hidden="1" customHeight="1" x14ac:dyDescent="0.25">
      <c r="A416" s="26" t="s">
        <v>94</v>
      </c>
      <c r="B416" s="26"/>
      <c r="C416" s="26"/>
      <c r="D416" s="26"/>
      <c r="E416" s="26"/>
      <c r="F416" s="26"/>
    </row>
    <row r="417" spans="1:6" hidden="1" x14ac:dyDescent="0.25">
      <c r="A417" s="7" t="s">
        <v>95</v>
      </c>
    </row>
    <row r="418" spans="1:6" hidden="1" x14ac:dyDescent="0.25">
      <c r="A418" s="8" t="s">
        <v>118</v>
      </c>
      <c r="B418" s="8" t="s">
        <v>264</v>
      </c>
      <c r="C418" s="27" t="s">
        <v>119</v>
      </c>
      <c r="D418" s="27"/>
      <c r="E418" s="8" t="s">
        <v>122</v>
      </c>
      <c r="F418" s="8" t="s">
        <v>123</v>
      </c>
    </row>
    <row r="419" spans="1:6" ht="36" hidden="1" customHeight="1" x14ac:dyDescent="0.25">
      <c r="A419" s="9">
        <v>44121</v>
      </c>
      <c r="B419" s="11" t="s">
        <v>335</v>
      </c>
      <c r="C419" s="28" t="s">
        <v>336</v>
      </c>
      <c r="D419" s="28"/>
      <c r="E419" s="18"/>
      <c r="F419" s="12" t="s">
        <v>185</v>
      </c>
    </row>
    <row r="420" spans="1:6" ht="36" hidden="1" customHeight="1" x14ac:dyDescent="0.25">
      <c r="A420" s="13">
        <v>44306</v>
      </c>
      <c r="B420" s="15" t="s">
        <v>337</v>
      </c>
      <c r="C420" s="29" t="s">
        <v>338</v>
      </c>
      <c r="D420" s="29"/>
      <c r="E420" s="19"/>
      <c r="F420" s="16" t="s">
        <v>127</v>
      </c>
    </row>
    <row r="421" spans="1:6" ht="36" hidden="1" customHeight="1" x14ac:dyDescent="0.25">
      <c r="A421" s="9">
        <v>44306</v>
      </c>
      <c r="B421" s="11" t="s">
        <v>339</v>
      </c>
      <c r="C421" s="28" t="s">
        <v>340</v>
      </c>
      <c r="D421" s="28"/>
      <c r="E421" s="18"/>
      <c r="F421" s="12" t="s">
        <v>127</v>
      </c>
    </row>
    <row r="422" spans="1:6" ht="36" hidden="1" customHeight="1" x14ac:dyDescent="0.25">
      <c r="A422" s="13">
        <v>44306</v>
      </c>
      <c r="B422" s="15" t="s">
        <v>341</v>
      </c>
      <c r="C422" s="29" t="s">
        <v>342</v>
      </c>
      <c r="D422" s="29"/>
      <c r="E422" s="19"/>
      <c r="F422" s="16" t="s">
        <v>127</v>
      </c>
    </row>
    <row r="423" spans="1:6" ht="36" hidden="1" customHeight="1" x14ac:dyDescent="0.25">
      <c r="A423" s="9">
        <v>44306</v>
      </c>
      <c r="B423" s="11" t="s">
        <v>343</v>
      </c>
      <c r="C423" s="28" t="s">
        <v>344</v>
      </c>
      <c r="D423" s="28"/>
      <c r="E423" s="18" t="s">
        <v>345</v>
      </c>
      <c r="F423" s="12" t="s">
        <v>127</v>
      </c>
    </row>
    <row r="424" spans="1:6" ht="36" hidden="1" customHeight="1" x14ac:dyDescent="0.25">
      <c r="A424" s="13">
        <v>44623</v>
      </c>
      <c r="B424" s="15" t="s">
        <v>346</v>
      </c>
      <c r="C424" s="29" t="s">
        <v>347</v>
      </c>
      <c r="D424" s="29"/>
      <c r="E424" s="19"/>
      <c r="F424" s="16" t="s">
        <v>191</v>
      </c>
    </row>
    <row r="425" spans="1:6" ht="36" hidden="1" customHeight="1" x14ac:dyDescent="0.25">
      <c r="A425" s="9">
        <v>45580</v>
      </c>
      <c r="B425" s="11" t="s">
        <v>348</v>
      </c>
      <c r="C425" s="28" t="s">
        <v>349</v>
      </c>
      <c r="D425" s="28"/>
      <c r="E425" s="18" t="s">
        <v>350</v>
      </c>
      <c r="F425" s="12" t="s">
        <v>132</v>
      </c>
    </row>
    <row r="426" spans="1:6" ht="36" hidden="1" customHeight="1" x14ac:dyDescent="0.25">
      <c r="A426" s="13">
        <v>45580</v>
      </c>
      <c r="B426" s="15" t="s">
        <v>351</v>
      </c>
      <c r="C426" s="29" t="s">
        <v>352</v>
      </c>
      <c r="D426" s="29"/>
      <c r="E426" s="19"/>
      <c r="F426" s="16" t="s">
        <v>132</v>
      </c>
    </row>
    <row r="427" spans="1:6" ht="36" hidden="1" customHeight="1" x14ac:dyDescent="0.25">
      <c r="A427" s="9">
        <v>45580</v>
      </c>
      <c r="B427" s="11" t="s">
        <v>353</v>
      </c>
      <c r="C427" s="28" t="s">
        <v>354</v>
      </c>
      <c r="D427" s="28"/>
      <c r="E427" s="18"/>
      <c r="F427" s="12" t="s">
        <v>132</v>
      </c>
    </row>
    <row r="428" spans="1:6" ht="36" hidden="1" customHeight="1" x14ac:dyDescent="0.25">
      <c r="A428" s="13">
        <v>45580</v>
      </c>
      <c r="B428" s="15" t="s">
        <v>355</v>
      </c>
      <c r="C428" s="29" t="s">
        <v>356</v>
      </c>
      <c r="D428" s="29"/>
      <c r="E428" s="19"/>
      <c r="F428" s="16" t="s">
        <v>132</v>
      </c>
    </row>
    <row r="429" spans="1:6" ht="36" hidden="1" customHeight="1" x14ac:dyDescent="0.25">
      <c r="A429" s="9">
        <v>45580</v>
      </c>
      <c r="B429" s="11" t="s">
        <v>357</v>
      </c>
      <c r="C429" s="28" t="s">
        <v>358</v>
      </c>
      <c r="D429" s="28"/>
      <c r="E429" s="18"/>
      <c r="F429" s="12" t="s">
        <v>132</v>
      </c>
    </row>
    <row r="430" spans="1:6" ht="36" hidden="1" customHeight="1" x14ac:dyDescent="0.25">
      <c r="A430" s="13">
        <v>45580</v>
      </c>
      <c r="B430" s="15" t="s">
        <v>359</v>
      </c>
      <c r="C430" s="29" t="s">
        <v>360</v>
      </c>
      <c r="D430" s="29"/>
      <c r="E430" s="19"/>
      <c r="F430" s="16" t="s">
        <v>132</v>
      </c>
    </row>
    <row r="431" spans="1:6" ht="36" hidden="1" customHeight="1" x14ac:dyDescent="0.25">
      <c r="A431" s="9">
        <v>45580</v>
      </c>
      <c r="B431" s="11" t="s">
        <v>361</v>
      </c>
      <c r="C431" s="28" t="s">
        <v>362</v>
      </c>
      <c r="D431" s="28"/>
      <c r="E431" s="18"/>
      <c r="F431" s="12" t="s">
        <v>132</v>
      </c>
    </row>
    <row r="432" spans="1:6" ht="36" hidden="1" customHeight="1" x14ac:dyDescent="0.25">
      <c r="A432" s="13">
        <v>45580</v>
      </c>
      <c r="B432" s="15" t="s">
        <v>363</v>
      </c>
      <c r="C432" s="29" t="s">
        <v>364</v>
      </c>
      <c r="D432" s="29"/>
      <c r="E432" s="19"/>
      <c r="F432" s="16" t="s">
        <v>132</v>
      </c>
    </row>
    <row r="433" spans="1:6" ht="36" hidden="1" customHeight="1" x14ac:dyDescent="0.25">
      <c r="A433" s="9">
        <v>45580</v>
      </c>
      <c r="B433" s="11" t="s">
        <v>365</v>
      </c>
      <c r="C433" s="28" t="s">
        <v>366</v>
      </c>
      <c r="D433" s="28"/>
      <c r="E433" s="18" t="s">
        <v>367</v>
      </c>
      <c r="F433" s="12" t="s">
        <v>132</v>
      </c>
    </row>
    <row r="434" spans="1:6" ht="36" hidden="1" customHeight="1" x14ac:dyDescent="0.25">
      <c r="A434" s="13">
        <v>45805</v>
      </c>
      <c r="B434" s="15" t="s">
        <v>368</v>
      </c>
      <c r="C434" s="29" t="s">
        <v>369</v>
      </c>
      <c r="D434" s="29"/>
      <c r="E434" s="19"/>
      <c r="F434" s="16" t="s">
        <v>193</v>
      </c>
    </row>
    <row r="435" spans="1:6" ht="36" hidden="1" customHeight="1" x14ac:dyDescent="0.25">
      <c r="A435" s="9">
        <v>45805</v>
      </c>
      <c r="B435" s="11" t="s">
        <v>370</v>
      </c>
      <c r="C435" s="28" t="s">
        <v>371</v>
      </c>
      <c r="D435" s="28"/>
      <c r="E435" s="18"/>
      <c r="F435" s="12" t="s">
        <v>193</v>
      </c>
    </row>
    <row r="436" spans="1:6" ht="36" hidden="1" customHeight="1" x14ac:dyDescent="0.25">
      <c r="A436" s="13">
        <v>45805</v>
      </c>
      <c r="B436" s="15" t="s">
        <v>372</v>
      </c>
      <c r="C436" s="29" t="s">
        <v>373</v>
      </c>
      <c r="D436" s="29"/>
      <c r="E436" s="19"/>
      <c r="F436" s="16" t="s">
        <v>193</v>
      </c>
    </row>
    <row r="437" spans="1:6" ht="36" hidden="1" customHeight="1" x14ac:dyDescent="0.25">
      <c r="A437" s="9">
        <v>45805</v>
      </c>
      <c r="B437" s="11" t="s">
        <v>374</v>
      </c>
      <c r="C437" s="28" t="s">
        <v>375</v>
      </c>
      <c r="D437" s="28"/>
      <c r="E437" s="18"/>
      <c r="F437" s="12" t="s">
        <v>193</v>
      </c>
    </row>
    <row r="438" spans="1:6" ht="36" hidden="1" customHeight="1" x14ac:dyDescent="0.25">
      <c r="A438" s="13">
        <v>45805</v>
      </c>
      <c r="B438" s="15" t="s">
        <v>376</v>
      </c>
      <c r="C438" s="29" t="s">
        <v>377</v>
      </c>
      <c r="D438" s="29"/>
      <c r="E438" s="19"/>
      <c r="F438" s="16" t="s">
        <v>193</v>
      </c>
    </row>
    <row r="439" spans="1:6" ht="36" hidden="1" customHeight="1" x14ac:dyDescent="0.25">
      <c r="A439" s="9">
        <v>45866</v>
      </c>
      <c r="B439" s="11" t="s">
        <v>378</v>
      </c>
      <c r="C439" s="28" t="s">
        <v>379</v>
      </c>
      <c r="D439" s="28"/>
      <c r="E439" s="18"/>
      <c r="F439" s="12" t="s">
        <v>134</v>
      </c>
    </row>
    <row r="440" spans="1:6" ht="36" hidden="1" customHeight="1" x14ac:dyDescent="0.25">
      <c r="A440" s="13">
        <v>45866</v>
      </c>
      <c r="B440" s="15" t="s">
        <v>380</v>
      </c>
      <c r="C440" s="29" t="s">
        <v>381</v>
      </c>
      <c r="D440" s="29"/>
      <c r="E440" s="19" t="s">
        <v>263</v>
      </c>
      <c r="F440" s="16" t="s">
        <v>134</v>
      </c>
    </row>
    <row r="441" spans="1:6" ht="36" hidden="1" customHeight="1" x14ac:dyDescent="0.25">
      <c r="A441" s="9">
        <v>45866</v>
      </c>
      <c r="B441" s="11" t="s">
        <v>382</v>
      </c>
      <c r="C441" s="28" t="s">
        <v>383</v>
      </c>
      <c r="D441" s="28"/>
      <c r="E441" s="18" t="s">
        <v>384</v>
      </c>
      <c r="F441" s="12" t="s">
        <v>134</v>
      </c>
    </row>
    <row r="442" spans="1:6" ht="45.95" hidden="1" customHeight="1" x14ac:dyDescent="0.25">
      <c r="A442" s="13">
        <v>46246</v>
      </c>
      <c r="B442" s="15" t="s">
        <v>385</v>
      </c>
      <c r="C442" s="29" t="s">
        <v>386</v>
      </c>
      <c r="D442" s="29"/>
      <c r="E442" s="19"/>
      <c r="F442" s="16" t="s">
        <v>144</v>
      </c>
    </row>
    <row r="443" spans="1:6" ht="45.95" hidden="1" customHeight="1" x14ac:dyDescent="0.25">
      <c r="A443" s="9">
        <v>46246</v>
      </c>
      <c r="B443" s="11" t="s">
        <v>387</v>
      </c>
      <c r="C443" s="28" t="s">
        <v>388</v>
      </c>
      <c r="D443" s="28"/>
      <c r="E443" s="18" t="s">
        <v>389</v>
      </c>
      <c r="F443" s="12" t="s">
        <v>144</v>
      </c>
    </row>
    <row r="444" spans="1:6" s="17" customFormat="1" ht="8.1" hidden="1" customHeight="1" x14ac:dyDescent="0.15"/>
    <row r="445" spans="1:6" ht="20.100000000000001" hidden="1" customHeight="1" x14ac:dyDescent="0.25">
      <c r="A445" s="25" t="s">
        <v>96</v>
      </c>
      <c r="B445" s="25"/>
      <c r="C445" s="25"/>
      <c r="D445" s="25"/>
      <c r="E445" s="25"/>
      <c r="F445" s="25"/>
    </row>
    <row r="446" spans="1:6" ht="18" hidden="1" customHeight="1" x14ac:dyDescent="0.25">
      <c r="A446" s="26" t="s">
        <v>97</v>
      </c>
      <c r="B446" s="26"/>
      <c r="C446" s="26"/>
      <c r="D446" s="26"/>
      <c r="E446" s="26"/>
      <c r="F446" s="26"/>
    </row>
    <row r="447" spans="1:6" hidden="1" x14ac:dyDescent="0.25">
      <c r="A447" s="7" t="s">
        <v>98</v>
      </c>
    </row>
    <row r="448" spans="1:6" hidden="1" x14ac:dyDescent="0.25">
      <c r="A448" s="8" t="s">
        <v>118</v>
      </c>
      <c r="B448" s="8" t="s">
        <v>264</v>
      </c>
      <c r="C448" s="8" t="s">
        <v>119</v>
      </c>
      <c r="D448" s="8"/>
      <c r="E448" s="8" t="s">
        <v>122</v>
      </c>
      <c r="F448" s="8" t="s">
        <v>123</v>
      </c>
    </row>
    <row r="449" spans="1:6" ht="18" hidden="1" customHeight="1" x14ac:dyDescent="0.25">
      <c r="A449" s="9">
        <v>44706</v>
      </c>
      <c r="B449" s="11" t="s">
        <v>390</v>
      </c>
      <c r="C449" s="11" t="s">
        <v>391</v>
      </c>
      <c r="D449" s="11"/>
      <c r="E449" s="11" t="s">
        <v>392</v>
      </c>
      <c r="F449" s="12" t="s">
        <v>393</v>
      </c>
    </row>
    <row r="450" spans="1:6" ht="18" hidden="1" customHeight="1" x14ac:dyDescent="0.25">
      <c r="A450" s="13">
        <v>44838</v>
      </c>
      <c r="B450" s="15" t="s">
        <v>394</v>
      </c>
      <c r="C450" s="15" t="s">
        <v>395</v>
      </c>
      <c r="D450" s="15"/>
      <c r="E450" s="15" t="s">
        <v>396</v>
      </c>
      <c r="F450" s="16" t="s">
        <v>397</v>
      </c>
    </row>
    <row r="451" spans="1:6" ht="18" hidden="1" customHeight="1" x14ac:dyDescent="0.25">
      <c r="A451" s="9">
        <v>44923</v>
      </c>
      <c r="B451" s="11" t="s">
        <v>398</v>
      </c>
      <c r="C451" s="11" t="s">
        <v>399</v>
      </c>
      <c r="D451" s="11"/>
      <c r="E451" s="11" t="s">
        <v>400</v>
      </c>
      <c r="F451" s="12" t="s">
        <v>401</v>
      </c>
    </row>
    <row r="452" spans="1:6" ht="18" hidden="1" customHeight="1" x14ac:dyDescent="0.25">
      <c r="A452" s="13">
        <v>45768</v>
      </c>
      <c r="B452" s="15" t="s">
        <v>402</v>
      </c>
      <c r="C452" s="15" t="s">
        <v>403</v>
      </c>
      <c r="D452" s="15"/>
      <c r="E452" s="15"/>
      <c r="F452" s="16" t="s">
        <v>404</v>
      </c>
    </row>
    <row r="453" spans="1:6" s="17" customFormat="1" ht="8.1" hidden="1" customHeight="1" x14ac:dyDescent="0.15"/>
    <row r="454" spans="1:6" ht="20.100000000000001" hidden="1" customHeight="1" x14ac:dyDescent="0.25">
      <c r="A454" s="25" t="s">
        <v>99</v>
      </c>
      <c r="B454" s="25"/>
      <c r="C454" s="25"/>
      <c r="D454" s="25"/>
      <c r="E454" s="25"/>
      <c r="F454" s="25"/>
    </row>
    <row r="455" spans="1:6" ht="18" hidden="1" customHeight="1" x14ac:dyDescent="0.25">
      <c r="A455" s="26" t="s">
        <v>100</v>
      </c>
      <c r="B455" s="26"/>
      <c r="C455" s="26"/>
      <c r="D455" s="26"/>
      <c r="E455" s="26"/>
      <c r="F455" s="26"/>
    </row>
    <row r="456" spans="1:6" hidden="1" x14ac:dyDescent="0.25">
      <c r="A456" s="7" t="s">
        <v>101</v>
      </c>
    </row>
    <row r="457" spans="1:6" hidden="1" x14ac:dyDescent="0.25">
      <c r="A457" s="8" t="s">
        <v>118</v>
      </c>
      <c r="B457" s="8" t="s">
        <v>405</v>
      </c>
      <c r="C457" s="27" t="s">
        <v>265</v>
      </c>
      <c r="D457" s="27"/>
      <c r="E457" s="8" t="s">
        <v>122</v>
      </c>
      <c r="F457" s="8" t="s">
        <v>123</v>
      </c>
    </row>
    <row r="458" spans="1:6" ht="45.95" hidden="1" customHeight="1" x14ac:dyDescent="0.25">
      <c r="A458" s="9">
        <v>44015</v>
      </c>
      <c r="B458" s="11" t="s">
        <v>406</v>
      </c>
      <c r="C458" s="28" t="s">
        <v>407</v>
      </c>
      <c r="D458" s="28"/>
      <c r="E458" s="18" t="s">
        <v>408</v>
      </c>
      <c r="F458" s="12" t="s">
        <v>409</v>
      </c>
    </row>
    <row r="459" spans="1:6" ht="45.95" hidden="1" customHeight="1" x14ac:dyDescent="0.25">
      <c r="A459" s="13">
        <v>44033</v>
      </c>
      <c r="B459" s="15" t="s">
        <v>410</v>
      </c>
      <c r="C459" s="29" t="s">
        <v>411</v>
      </c>
      <c r="D459" s="29"/>
      <c r="E459" s="19" t="s">
        <v>412</v>
      </c>
      <c r="F459" s="16" t="s">
        <v>413</v>
      </c>
    </row>
    <row r="460" spans="1:6" s="17" customFormat="1" ht="8.1" hidden="1" customHeight="1" x14ac:dyDescent="0.15"/>
    <row r="461" spans="1:6" ht="20.100000000000001" hidden="1" customHeight="1" x14ac:dyDescent="0.25">
      <c r="A461" s="25" t="s">
        <v>102</v>
      </c>
      <c r="B461" s="25"/>
      <c r="C461" s="25"/>
      <c r="D461" s="25"/>
      <c r="E461" s="25"/>
      <c r="F461" s="25"/>
    </row>
    <row r="462" spans="1:6" ht="18" hidden="1" customHeight="1" x14ac:dyDescent="0.25">
      <c r="A462" s="26" t="s">
        <v>103</v>
      </c>
      <c r="B462" s="26"/>
      <c r="C462" s="26"/>
      <c r="D462" s="26"/>
      <c r="E462" s="26"/>
      <c r="F462" s="26"/>
    </row>
    <row r="463" spans="1:6" hidden="1" x14ac:dyDescent="0.25">
      <c r="A463" s="7" t="s">
        <v>104</v>
      </c>
    </row>
    <row r="464" spans="1:6" hidden="1" x14ac:dyDescent="0.25">
      <c r="A464" s="8" t="s">
        <v>118</v>
      </c>
      <c r="B464" s="8" t="s">
        <v>264</v>
      </c>
      <c r="C464" s="27" t="s">
        <v>414</v>
      </c>
      <c r="D464" s="27"/>
      <c r="E464" s="8" t="s">
        <v>122</v>
      </c>
      <c r="F464" s="8" t="s">
        <v>123</v>
      </c>
    </row>
    <row r="465" spans="1:6" ht="45.95" hidden="1" customHeight="1" x14ac:dyDescent="0.25">
      <c r="A465" s="9">
        <v>44047</v>
      </c>
      <c r="B465" s="11" t="s">
        <v>415</v>
      </c>
      <c r="C465" s="28" t="s">
        <v>416</v>
      </c>
      <c r="D465" s="28"/>
      <c r="E465" s="18" t="s">
        <v>417</v>
      </c>
      <c r="F465" s="12" t="s">
        <v>418</v>
      </c>
    </row>
    <row r="466" spans="1:6" ht="45.95" hidden="1" customHeight="1" x14ac:dyDescent="0.25">
      <c r="A466" s="13">
        <v>44047</v>
      </c>
      <c r="B466" s="15" t="s">
        <v>419</v>
      </c>
      <c r="C466" s="29" t="s">
        <v>420</v>
      </c>
      <c r="D466" s="29"/>
      <c r="E466" s="19" t="s">
        <v>421</v>
      </c>
      <c r="F466" s="16" t="s">
        <v>422</v>
      </c>
    </row>
    <row r="467" spans="1:6" ht="45.95" hidden="1" customHeight="1" x14ac:dyDescent="0.25">
      <c r="A467" s="9">
        <v>44051</v>
      </c>
      <c r="B467" s="11" t="s">
        <v>415</v>
      </c>
      <c r="C467" s="28" t="s">
        <v>423</v>
      </c>
      <c r="D467" s="28"/>
      <c r="E467" s="18" t="s">
        <v>424</v>
      </c>
      <c r="F467" s="12" t="s">
        <v>425</v>
      </c>
    </row>
    <row r="468" spans="1:6" ht="45.95" hidden="1" customHeight="1" x14ac:dyDescent="0.25">
      <c r="A468" s="13">
        <v>44054</v>
      </c>
      <c r="B468" s="15" t="s">
        <v>426</v>
      </c>
      <c r="C468" s="29" t="s">
        <v>427</v>
      </c>
      <c r="D468" s="29"/>
      <c r="E468" s="19"/>
      <c r="F468" s="16" t="s">
        <v>428</v>
      </c>
    </row>
    <row r="469" spans="1:6" ht="45.95" hidden="1" customHeight="1" x14ac:dyDescent="0.25">
      <c r="A469" s="9">
        <v>44059</v>
      </c>
      <c r="B469" s="11" t="s">
        <v>429</v>
      </c>
      <c r="C469" s="28" t="s">
        <v>430</v>
      </c>
      <c r="D469" s="28"/>
      <c r="E469" s="18"/>
      <c r="F469" s="12" t="s">
        <v>431</v>
      </c>
    </row>
    <row r="470" spans="1:6" s="17" customFormat="1" ht="8.1" hidden="1" customHeight="1" x14ac:dyDescent="0.15"/>
    <row r="471" spans="1:6" ht="18" hidden="1" customHeight="1" x14ac:dyDescent="0.25">
      <c r="A471" s="26" t="s">
        <v>105</v>
      </c>
      <c r="B471" s="26"/>
      <c r="C471" s="26"/>
      <c r="D471" s="26"/>
      <c r="E471" s="26"/>
      <c r="F471" s="26"/>
    </row>
    <row r="472" spans="1:6" hidden="1" x14ac:dyDescent="0.25">
      <c r="A472" s="7" t="s">
        <v>106</v>
      </c>
    </row>
    <row r="473" spans="1:6" hidden="1" x14ac:dyDescent="0.25">
      <c r="A473" s="8" t="s">
        <v>118</v>
      </c>
      <c r="B473" s="8" t="s">
        <v>264</v>
      </c>
      <c r="C473" s="27" t="s">
        <v>414</v>
      </c>
      <c r="D473" s="27"/>
      <c r="E473" s="8" t="s">
        <v>122</v>
      </c>
      <c r="F473" s="8" t="s">
        <v>123</v>
      </c>
    </row>
    <row r="474" spans="1:6" ht="45.95" hidden="1" customHeight="1" x14ac:dyDescent="0.25">
      <c r="A474" s="9">
        <v>45676</v>
      </c>
      <c r="B474" s="11" t="s">
        <v>432</v>
      </c>
      <c r="C474" s="28" t="s">
        <v>433</v>
      </c>
      <c r="D474" s="28"/>
      <c r="E474" s="18" t="s">
        <v>434</v>
      </c>
      <c r="F474" s="12" t="s">
        <v>435</v>
      </c>
    </row>
    <row r="475" spans="1:6" s="17" customFormat="1" ht="8.1" hidden="1" customHeight="1" x14ac:dyDescent="0.15"/>
    <row r="476" spans="1:6" ht="18" hidden="1" customHeight="1" x14ac:dyDescent="0.25">
      <c r="A476" s="26" t="s">
        <v>107</v>
      </c>
      <c r="B476" s="26"/>
      <c r="C476" s="26"/>
      <c r="D476" s="26"/>
      <c r="E476" s="26"/>
      <c r="F476" s="26"/>
    </row>
    <row r="477" spans="1:6" hidden="1" x14ac:dyDescent="0.25">
      <c r="A477" s="7" t="s">
        <v>108</v>
      </c>
    </row>
    <row r="478" spans="1:6" hidden="1" x14ac:dyDescent="0.25">
      <c r="A478" s="8" t="s">
        <v>118</v>
      </c>
      <c r="B478" s="8" t="s">
        <v>264</v>
      </c>
      <c r="C478" s="27" t="s">
        <v>414</v>
      </c>
      <c r="D478" s="27"/>
      <c r="E478" s="8" t="s">
        <v>122</v>
      </c>
      <c r="F478" s="8" t="s">
        <v>123</v>
      </c>
    </row>
    <row r="479" spans="1:6" ht="45.95" hidden="1" customHeight="1" x14ac:dyDescent="0.25">
      <c r="A479" s="9">
        <v>45692</v>
      </c>
      <c r="B479" s="11" t="s">
        <v>107</v>
      </c>
      <c r="C479" s="28" t="s">
        <v>436</v>
      </c>
      <c r="D479" s="28"/>
      <c r="E479" s="18" t="s">
        <v>437</v>
      </c>
      <c r="F479" s="12" t="s">
        <v>438</v>
      </c>
    </row>
    <row r="480" spans="1:6" s="17" customFormat="1" ht="8.1" hidden="1" customHeight="1" x14ac:dyDescent="0.15"/>
    <row r="481" spans="1:6" ht="18" hidden="1" customHeight="1" x14ac:dyDescent="0.25">
      <c r="A481" s="26" t="s">
        <v>109</v>
      </c>
      <c r="B481" s="26"/>
      <c r="C481" s="26"/>
      <c r="D481" s="26"/>
      <c r="E481" s="26"/>
      <c r="F481" s="26"/>
    </row>
    <row r="482" spans="1:6" hidden="1" x14ac:dyDescent="0.25">
      <c r="A482" s="7" t="s">
        <v>110</v>
      </c>
    </row>
    <row r="483" spans="1:6" hidden="1" x14ac:dyDescent="0.25">
      <c r="A483" s="8" t="s">
        <v>118</v>
      </c>
      <c r="B483" s="8" t="s">
        <v>119</v>
      </c>
      <c r="C483" s="8"/>
      <c r="D483" s="8"/>
      <c r="E483" s="8" t="s">
        <v>122</v>
      </c>
      <c r="F483" s="8" t="s">
        <v>123</v>
      </c>
    </row>
    <row r="484" spans="1:6" ht="18" hidden="1" customHeight="1" x14ac:dyDescent="0.25">
      <c r="A484" s="9">
        <v>45580</v>
      </c>
      <c r="B484" s="11" t="s">
        <v>439</v>
      </c>
      <c r="C484" s="11"/>
      <c r="D484" s="11"/>
      <c r="E484" s="11"/>
      <c r="F484" s="12" t="s">
        <v>440</v>
      </c>
    </row>
    <row r="485" spans="1:6" s="17" customFormat="1" ht="8.1" hidden="1" customHeight="1" x14ac:dyDescent="0.15"/>
    <row r="486" spans="1:6" ht="18" hidden="1" customHeight="1" x14ac:dyDescent="0.25">
      <c r="A486" s="26" t="s">
        <v>111</v>
      </c>
      <c r="B486" s="26"/>
      <c r="C486" s="26"/>
      <c r="D486" s="26"/>
      <c r="E486" s="26"/>
      <c r="F486" s="26"/>
    </row>
    <row r="487" spans="1:6" hidden="1" x14ac:dyDescent="0.25">
      <c r="A487" s="7" t="s">
        <v>112</v>
      </c>
    </row>
    <row r="488" spans="1:6" hidden="1" x14ac:dyDescent="0.25">
      <c r="A488" s="8" t="s">
        <v>118</v>
      </c>
      <c r="B488" s="8" t="s">
        <v>264</v>
      </c>
      <c r="C488" s="27" t="s">
        <v>265</v>
      </c>
      <c r="D488" s="27"/>
      <c r="E488" s="8" t="s">
        <v>122</v>
      </c>
      <c r="F488" s="8" t="s">
        <v>123</v>
      </c>
    </row>
    <row r="489" spans="1:6" ht="36" hidden="1" customHeight="1" x14ac:dyDescent="0.25">
      <c r="A489" s="9">
        <v>45583</v>
      </c>
      <c r="B489" s="11" t="s">
        <v>441</v>
      </c>
      <c r="C489" s="28" t="s">
        <v>442</v>
      </c>
      <c r="D489" s="28"/>
      <c r="E489" s="18" t="s">
        <v>443</v>
      </c>
      <c r="F489" s="12" t="s">
        <v>444</v>
      </c>
    </row>
    <row r="490" spans="1:6" ht="36" hidden="1" customHeight="1" x14ac:dyDescent="0.25">
      <c r="A490" s="13">
        <v>45812</v>
      </c>
      <c r="B490" s="15" t="s">
        <v>445</v>
      </c>
      <c r="C490" s="29" t="s">
        <v>446</v>
      </c>
      <c r="D490" s="29"/>
      <c r="E490" s="19" t="s">
        <v>447</v>
      </c>
      <c r="F490" s="16" t="s">
        <v>448</v>
      </c>
    </row>
    <row r="491" spans="1:6" s="17" customFormat="1" ht="8.1" hidden="1" customHeight="1" x14ac:dyDescent="0.15"/>
    <row r="492" spans="1:6" ht="18" hidden="1" customHeight="1" x14ac:dyDescent="0.25">
      <c r="A492" s="26" t="s">
        <v>113</v>
      </c>
      <c r="B492" s="26"/>
      <c r="C492" s="26"/>
      <c r="D492" s="26"/>
      <c r="E492" s="26"/>
      <c r="F492" s="26"/>
    </row>
    <row r="493" spans="1:6" hidden="1" x14ac:dyDescent="0.25">
      <c r="A493" s="7" t="s">
        <v>114</v>
      </c>
    </row>
    <row r="494" spans="1:6" hidden="1" x14ac:dyDescent="0.25">
      <c r="A494" s="8" t="s">
        <v>118</v>
      </c>
      <c r="B494" s="8" t="s">
        <v>264</v>
      </c>
      <c r="C494" s="27" t="s">
        <v>414</v>
      </c>
      <c r="D494" s="27"/>
      <c r="E494" s="8" t="s">
        <v>122</v>
      </c>
      <c r="F494" s="8" t="s">
        <v>123</v>
      </c>
    </row>
    <row r="495" spans="1:6" ht="36" hidden="1" customHeight="1" x14ac:dyDescent="0.25">
      <c r="A495" s="9">
        <v>44013</v>
      </c>
      <c r="B495" s="11" t="s">
        <v>449</v>
      </c>
      <c r="C495" s="28" t="s">
        <v>450</v>
      </c>
      <c r="D495" s="28"/>
      <c r="E495" s="18" t="s">
        <v>451</v>
      </c>
      <c r="F495" s="12" t="s">
        <v>452</v>
      </c>
    </row>
    <row r="496" spans="1:6" ht="45.95" hidden="1" customHeight="1" x14ac:dyDescent="0.25">
      <c r="A496" s="13">
        <v>44127</v>
      </c>
      <c r="B496" s="15" t="s">
        <v>453</v>
      </c>
      <c r="C496" s="29" t="s">
        <v>454</v>
      </c>
      <c r="D496" s="29"/>
      <c r="E496" s="19" t="s">
        <v>455</v>
      </c>
      <c r="F496" s="16" t="s">
        <v>456</v>
      </c>
    </row>
    <row r="497" spans="1:6" ht="45.95" hidden="1" customHeight="1" x14ac:dyDescent="0.25">
      <c r="A497" s="9">
        <v>45230</v>
      </c>
      <c r="B497" s="11" t="s">
        <v>457</v>
      </c>
      <c r="C497" s="28" t="s">
        <v>458</v>
      </c>
      <c r="D497" s="28"/>
      <c r="E497" s="18" t="s">
        <v>459</v>
      </c>
      <c r="F497" s="12" t="s">
        <v>460</v>
      </c>
    </row>
    <row r="498" spans="1:6" ht="45.95" hidden="1" customHeight="1" x14ac:dyDescent="0.25">
      <c r="A498" s="13">
        <v>45610</v>
      </c>
      <c r="B498" s="15" t="s">
        <v>461</v>
      </c>
      <c r="C498" s="29" t="s">
        <v>462</v>
      </c>
      <c r="D498" s="29"/>
      <c r="E498" s="19" t="s">
        <v>463</v>
      </c>
      <c r="F498" s="16" t="s">
        <v>464</v>
      </c>
    </row>
    <row r="499" spans="1:6" ht="36" hidden="1" customHeight="1" x14ac:dyDescent="0.25">
      <c r="A499" s="9">
        <v>45621</v>
      </c>
      <c r="B499" s="11" t="s">
        <v>465</v>
      </c>
      <c r="C499" s="28" t="s">
        <v>466</v>
      </c>
      <c r="D499" s="28"/>
      <c r="E499" s="18" t="s">
        <v>467</v>
      </c>
      <c r="F499" s="12" t="s">
        <v>468</v>
      </c>
    </row>
    <row r="500" spans="1:6" ht="45.95" hidden="1" customHeight="1" x14ac:dyDescent="0.25">
      <c r="A500" s="13">
        <v>45866</v>
      </c>
      <c r="B500" s="15" t="s">
        <v>469</v>
      </c>
      <c r="C500" s="29" t="s">
        <v>470</v>
      </c>
      <c r="D500" s="29"/>
      <c r="E500" s="19" t="s">
        <v>471</v>
      </c>
      <c r="F500" s="16" t="s">
        <v>472</v>
      </c>
    </row>
    <row r="501" spans="1:6" s="17" customFormat="1" ht="8.1" hidden="1" customHeight="1" x14ac:dyDescent="0.15"/>
    <row r="502" spans="1:6" x14ac:dyDescent="0.25">
      <c r="A502" s="30" t="s">
        <v>473</v>
      </c>
      <c r="B502" s="30"/>
      <c r="C502" s="30"/>
      <c r="D502" s="30"/>
      <c r="E502" s="30"/>
      <c r="F502" s="30"/>
    </row>
    <row r="503" spans="1:6" x14ac:dyDescent="0.25">
      <c r="A503" s="30"/>
      <c r="B503" s="30"/>
      <c r="C503" s="30"/>
      <c r="D503" s="30"/>
      <c r="E503" s="30"/>
      <c r="F503" s="30"/>
    </row>
  </sheetData>
  <mergeCells count="117">
    <mergeCell ref="A492:F492"/>
    <mergeCell ref="C494:D494"/>
    <mergeCell ref="C495:D495"/>
    <mergeCell ref="C496:D496"/>
    <mergeCell ref="C497:D497"/>
    <mergeCell ref="C498:D498"/>
    <mergeCell ref="C499:D499"/>
    <mergeCell ref="C500:D500"/>
    <mergeCell ref="A502:F503"/>
    <mergeCell ref="C474:D474"/>
    <mergeCell ref="A476:F476"/>
    <mergeCell ref="C478:D478"/>
    <mergeCell ref="C479:D479"/>
    <mergeCell ref="A481:F481"/>
    <mergeCell ref="A486:F486"/>
    <mergeCell ref="C488:D488"/>
    <mergeCell ref="C489:D489"/>
    <mergeCell ref="C490:D490"/>
    <mergeCell ref="A462:F462"/>
    <mergeCell ref="C464:D464"/>
    <mergeCell ref="C465:D465"/>
    <mergeCell ref="C466:D466"/>
    <mergeCell ref="C467:D467"/>
    <mergeCell ref="C468:D468"/>
    <mergeCell ref="C469:D469"/>
    <mergeCell ref="A471:F471"/>
    <mergeCell ref="C473:D473"/>
    <mergeCell ref="C443:D443"/>
    <mergeCell ref="A445:F445"/>
    <mergeCell ref="A446:F446"/>
    <mergeCell ref="A454:F454"/>
    <mergeCell ref="A455:F455"/>
    <mergeCell ref="C457:D457"/>
    <mergeCell ref="C458:D458"/>
    <mergeCell ref="C459:D459"/>
    <mergeCell ref="A461:F461"/>
    <mergeCell ref="C434:D434"/>
    <mergeCell ref="C435:D435"/>
    <mergeCell ref="C436:D436"/>
    <mergeCell ref="C437:D437"/>
    <mergeCell ref="C438:D438"/>
    <mergeCell ref="C439:D439"/>
    <mergeCell ref="C440:D440"/>
    <mergeCell ref="C441:D441"/>
    <mergeCell ref="C442:D442"/>
    <mergeCell ref="C425:D425"/>
    <mergeCell ref="C426:D426"/>
    <mergeCell ref="C427:D427"/>
    <mergeCell ref="C428:D428"/>
    <mergeCell ref="C429:D429"/>
    <mergeCell ref="C430:D430"/>
    <mergeCell ref="C431:D431"/>
    <mergeCell ref="C432:D432"/>
    <mergeCell ref="C433:D433"/>
    <mergeCell ref="A407:F407"/>
    <mergeCell ref="A416:F416"/>
    <mergeCell ref="C418:D418"/>
    <mergeCell ref="C419:D419"/>
    <mergeCell ref="C420:D420"/>
    <mergeCell ref="C421:D421"/>
    <mergeCell ref="C422:D422"/>
    <mergeCell ref="C423:D423"/>
    <mergeCell ref="C424:D424"/>
    <mergeCell ref="A351:F351"/>
    <mergeCell ref="A357:F357"/>
    <mergeCell ref="A362:F362"/>
    <mergeCell ref="A369:F369"/>
    <mergeCell ref="A377:F377"/>
    <mergeCell ref="A383:F383"/>
    <mergeCell ref="A389:F389"/>
    <mergeCell ref="A395:F395"/>
    <mergeCell ref="A401:F401"/>
    <mergeCell ref="A292:F292"/>
    <mergeCell ref="A300:F300"/>
    <mergeCell ref="A307:F307"/>
    <mergeCell ref="A313:F313"/>
    <mergeCell ref="A319:F319"/>
    <mergeCell ref="A326:F326"/>
    <mergeCell ref="A331:F331"/>
    <mergeCell ref="A332:F332"/>
    <mergeCell ref="A343:F343"/>
    <mergeCell ref="A275:F275"/>
    <mergeCell ref="A282:F282"/>
    <mergeCell ref="A283:F283"/>
    <mergeCell ref="C285:D285"/>
    <mergeCell ref="C286:D286"/>
    <mergeCell ref="C287:D287"/>
    <mergeCell ref="C288:D288"/>
    <mergeCell ref="C289:D289"/>
    <mergeCell ref="A291:F291"/>
    <mergeCell ref="A149:F149"/>
    <mergeCell ref="A165:F165"/>
    <mergeCell ref="A181:F181"/>
    <mergeCell ref="A197:F197"/>
    <mergeCell ref="A213:F213"/>
    <mergeCell ref="A229:F229"/>
    <mergeCell ref="A244:F244"/>
    <mergeCell ref="A254:F254"/>
    <mergeCell ref="A270:F270"/>
    <mergeCell ref="A47:F47"/>
    <mergeCell ref="A48:F48"/>
    <mergeCell ref="A58:F58"/>
    <mergeCell ref="A68:F68"/>
    <mergeCell ref="A69:F69"/>
    <mergeCell ref="A85:F85"/>
    <mergeCell ref="A101:F101"/>
    <mergeCell ref="A117:F117"/>
    <mergeCell ref="A133:F133"/>
    <mergeCell ref="A1:F1"/>
    <mergeCell ref="A2:F2"/>
    <mergeCell ref="A4:F4"/>
    <mergeCell ref="A5:F5"/>
    <mergeCell ref="A15:F15"/>
    <mergeCell ref="A24:F24"/>
    <mergeCell ref="A30:F30"/>
    <mergeCell ref="A39:F39"/>
    <mergeCell ref="A40:F40"/>
  </mergeCells>
  <printOptions horizontalCentered="1"/>
  <pageMargins left="0.4" right="0.4" top="0.45" bottom="0.45" header="0.3" footer="0.3"/>
  <pageSetup paperSize="9" fitToHeight="0" orientation="landscape"/>
  <headerFooter>
    <oddHeader>&amp;CCecília — evolução dos exames</oddHeader>
    <oddFooter>&amp;LConferido nos laudos da pasta Exames  ·  coluna Arquivo = PDF  ·  não substitui o laudo&amp;R&amp;P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M14"/>
  <sheetViews>
    <sheetView workbookViewId="0"/>
  </sheetViews>
  <sheetFormatPr defaultRowHeight="15" x14ac:dyDescent="0.25"/>
  <sheetData>
    <row r="1" spans="1:377" x14ac:dyDescent="0.25">
      <c r="A1" t="s">
        <v>9</v>
      </c>
      <c r="J1" t="s">
        <v>11</v>
      </c>
      <c r="S1" t="s">
        <v>13</v>
      </c>
      <c r="AB1" t="s">
        <v>491</v>
      </c>
      <c r="AK1" t="s">
        <v>494</v>
      </c>
      <c r="AT1" t="s">
        <v>497</v>
      </c>
      <c r="BC1" t="s">
        <v>18</v>
      </c>
      <c r="BL1" t="s">
        <v>21</v>
      </c>
      <c r="BU1" t="s">
        <v>23</v>
      </c>
      <c r="CD1" t="s">
        <v>26</v>
      </c>
      <c r="CM1" t="s">
        <v>28</v>
      </c>
      <c r="CV1" t="s">
        <v>30</v>
      </c>
      <c r="DE1" t="s">
        <v>32</v>
      </c>
      <c r="DN1" t="s">
        <v>508</v>
      </c>
      <c r="DW1" t="s">
        <v>215</v>
      </c>
      <c r="EF1" t="s">
        <v>36</v>
      </c>
      <c r="EO1" t="s">
        <v>38</v>
      </c>
      <c r="EX1" t="s">
        <v>40</v>
      </c>
      <c r="FG1" t="s">
        <v>42</v>
      </c>
      <c r="FP1" t="s">
        <v>44</v>
      </c>
      <c r="FY1" t="s">
        <v>45</v>
      </c>
      <c r="GH1" t="s">
        <v>46</v>
      </c>
      <c r="GQ1" t="s">
        <v>48</v>
      </c>
      <c r="GZ1" t="s">
        <v>52</v>
      </c>
      <c r="HI1" t="s">
        <v>58</v>
      </c>
      <c r="HR1" t="s">
        <v>60</v>
      </c>
      <c r="IA1" t="s">
        <v>62</v>
      </c>
      <c r="IJ1" t="s">
        <v>64</v>
      </c>
      <c r="IS1" t="s">
        <v>66</v>
      </c>
      <c r="JB1" t="s">
        <v>71</v>
      </c>
      <c r="JK1" t="s">
        <v>526</v>
      </c>
      <c r="JT1" t="s">
        <v>528</v>
      </c>
      <c r="KC1" t="s">
        <v>75</v>
      </c>
      <c r="KL1" t="s">
        <v>79</v>
      </c>
      <c r="KU1" t="s">
        <v>81</v>
      </c>
      <c r="LD1" t="s">
        <v>83</v>
      </c>
      <c r="LM1" t="s">
        <v>84</v>
      </c>
      <c r="LV1" t="s">
        <v>86</v>
      </c>
      <c r="ME1" t="s">
        <v>88</v>
      </c>
      <c r="MN1" t="s">
        <v>90</v>
      </c>
      <c r="MW1" t="s">
        <v>538</v>
      </c>
      <c r="NF1" t="s">
        <v>540</v>
      </c>
    </row>
    <row r="2" spans="1:377" x14ac:dyDescent="0.25">
      <c r="A2" t="s">
        <v>118</v>
      </c>
      <c r="B2" t="s">
        <v>480</v>
      </c>
      <c r="C2" t="s">
        <v>481</v>
      </c>
      <c r="D2" t="s">
        <v>482</v>
      </c>
      <c r="E2" t="s">
        <v>483</v>
      </c>
      <c r="F2" t="s">
        <v>216</v>
      </c>
      <c r="G2" t="s">
        <v>484</v>
      </c>
      <c r="H2" t="s">
        <v>485</v>
      </c>
      <c r="J2" t="s">
        <v>118</v>
      </c>
      <c r="K2" t="s">
        <v>480</v>
      </c>
      <c r="L2" t="s">
        <v>481</v>
      </c>
      <c r="M2" t="s">
        <v>482</v>
      </c>
      <c r="N2" t="s">
        <v>483</v>
      </c>
      <c r="O2" t="s">
        <v>216</v>
      </c>
      <c r="P2" t="s">
        <v>484</v>
      </c>
      <c r="Q2" t="s">
        <v>485</v>
      </c>
      <c r="S2" t="s">
        <v>118</v>
      </c>
      <c r="T2" t="s">
        <v>480</v>
      </c>
      <c r="U2" t="s">
        <v>481</v>
      </c>
      <c r="V2" t="s">
        <v>482</v>
      </c>
      <c r="W2" t="s">
        <v>483</v>
      </c>
      <c r="X2" t="s">
        <v>216</v>
      </c>
      <c r="Y2" t="s">
        <v>484</v>
      </c>
      <c r="Z2" t="s">
        <v>485</v>
      </c>
      <c r="AB2" t="s">
        <v>149</v>
      </c>
      <c r="AC2" t="s">
        <v>480</v>
      </c>
      <c r="AK2" t="s">
        <v>149</v>
      </c>
      <c r="AL2" t="s">
        <v>480</v>
      </c>
      <c r="AT2" t="s">
        <v>149</v>
      </c>
      <c r="AU2" t="s">
        <v>480</v>
      </c>
      <c r="BC2" t="s">
        <v>118</v>
      </c>
      <c r="BD2" t="s">
        <v>161</v>
      </c>
      <c r="BE2" t="s">
        <v>162</v>
      </c>
      <c r="BL2" t="s">
        <v>118</v>
      </c>
      <c r="BM2" t="s">
        <v>480</v>
      </c>
      <c r="BN2" t="s">
        <v>481</v>
      </c>
      <c r="BO2" t="s">
        <v>482</v>
      </c>
      <c r="BP2" t="s">
        <v>483</v>
      </c>
      <c r="BQ2" t="s">
        <v>216</v>
      </c>
      <c r="BR2" t="s">
        <v>484</v>
      </c>
      <c r="BS2" t="s">
        <v>485</v>
      </c>
      <c r="BU2" t="s">
        <v>118</v>
      </c>
      <c r="BV2" t="s">
        <v>480</v>
      </c>
      <c r="BW2" t="s">
        <v>481</v>
      </c>
      <c r="BX2" t="s">
        <v>482</v>
      </c>
      <c r="BY2" t="s">
        <v>483</v>
      </c>
      <c r="BZ2" t="s">
        <v>216</v>
      </c>
      <c r="CA2" t="s">
        <v>484</v>
      </c>
      <c r="CB2" t="s">
        <v>485</v>
      </c>
      <c r="CD2" t="s">
        <v>118</v>
      </c>
      <c r="CE2" t="s">
        <v>480</v>
      </c>
      <c r="CF2" t="s">
        <v>481</v>
      </c>
      <c r="CG2" t="s">
        <v>482</v>
      </c>
      <c r="CH2" t="s">
        <v>483</v>
      </c>
      <c r="CI2" t="s">
        <v>216</v>
      </c>
      <c r="CJ2" t="s">
        <v>484</v>
      </c>
      <c r="CK2" t="s">
        <v>485</v>
      </c>
      <c r="CM2" t="s">
        <v>118</v>
      </c>
      <c r="CN2" t="s">
        <v>480</v>
      </c>
      <c r="CO2" t="s">
        <v>481</v>
      </c>
      <c r="CP2" t="s">
        <v>482</v>
      </c>
      <c r="CQ2" t="s">
        <v>483</v>
      </c>
      <c r="CR2" t="s">
        <v>216</v>
      </c>
      <c r="CS2" t="s">
        <v>484</v>
      </c>
      <c r="CT2" t="s">
        <v>485</v>
      </c>
      <c r="CV2" t="s">
        <v>118</v>
      </c>
      <c r="CW2" t="s">
        <v>480</v>
      </c>
      <c r="CX2" t="s">
        <v>481</v>
      </c>
      <c r="CY2" t="s">
        <v>482</v>
      </c>
      <c r="CZ2" t="s">
        <v>483</v>
      </c>
      <c r="DA2" t="s">
        <v>216</v>
      </c>
      <c r="DB2" t="s">
        <v>484</v>
      </c>
      <c r="DC2" t="s">
        <v>485</v>
      </c>
      <c r="DE2" t="s">
        <v>118</v>
      </c>
      <c r="DF2" t="s">
        <v>480</v>
      </c>
      <c r="DG2" t="s">
        <v>481</v>
      </c>
      <c r="DH2" t="s">
        <v>482</v>
      </c>
      <c r="DI2" t="s">
        <v>483</v>
      </c>
      <c r="DJ2" t="s">
        <v>216</v>
      </c>
      <c r="DK2" t="s">
        <v>484</v>
      </c>
      <c r="DL2" t="s">
        <v>485</v>
      </c>
      <c r="DN2" t="s">
        <v>118</v>
      </c>
      <c r="DO2" t="s">
        <v>480</v>
      </c>
      <c r="DP2" t="s">
        <v>481</v>
      </c>
      <c r="DQ2" t="s">
        <v>482</v>
      </c>
      <c r="DR2" t="s">
        <v>483</v>
      </c>
      <c r="DS2" t="s">
        <v>216</v>
      </c>
      <c r="DT2" t="s">
        <v>484</v>
      </c>
      <c r="DU2" t="s">
        <v>485</v>
      </c>
      <c r="DW2" t="s">
        <v>118</v>
      </c>
      <c r="DX2" t="s">
        <v>480</v>
      </c>
      <c r="DY2" t="s">
        <v>481</v>
      </c>
      <c r="DZ2" t="s">
        <v>482</v>
      </c>
      <c r="EA2" t="s">
        <v>483</v>
      </c>
      <c r="EB2" t="s">
        <v>216</v>
      </c>
      <c r="EC2" t="s">
        <v>484</v>
      </c>
      <c r="ED2" t="s">
        <v>485</v>
      </c>
      <c r="EF2" t="s">
        <v>118</v>
      </c>
      <c r="EG2" t="s">
        <v>480</v>
      </c>
      <c r="EH2" t="s">
        <v>481</v>
      </c>
      <c r="EI2" t="s">
        <v>482</v>
      </c>
      <c r="EJ2" t="s">
        <v>483</v>
      </c>
      <c r="EK2" t="s">
        <v>216</v>
      </c>
      <c r="EL2" t="s">
        <v>484</v>
      </c>
      <c r="EM2" t="s">
        <v>485</v>
      </c>
      <c r="EO2" t="s">
        <v>118</v>
      </c>
      <c r="EP2" t="s">
        <v>480</v>
      </c>
      <c r="EQ2" t="s">
        <v>481</v>
      </c>
      <c r="ER2" t="s">
        <v>482</v>
      </c>
      <c r="ES2" t="s">
        <v>483</v>
      </c>
      <c r="ET2" t="s">
        <v>216</v>
      </c>
      <c r="EU2" t="s">
        <v>484</v>
      </c>
      <c r="EV2" t="s">
        <v>485</v>
      </c>
      <c r="EX2" t="s">
        <v>118</v>
      </c>
      <c r="EY2" t="s">
        <v>480</v>
      </c>
      <c r="EZ2" t="s">
        <v>481</v>
      </c>
      <c r="FA2" t="s">
        <v>482</v>
      </c>
      <c r="FB2" t="s">
        <v>483</v>
      </c>
      <c r="FC2" t="s">
        <v>216</v>
      </c>
      <c r="FD2" t="s">
        <v>484</v>
      </c>
      <c r="FE2" t="s">
        <v>485</v>
      </c>
      <c r="FG2" t="s">
        <v>118</v>
      </c>
      <c r="FH2" t="s">
        <v>480</v>
      </c>
      <c r="FI2" t="s">
        <v>481</v>
      </c>
      <c r="FJ2" t="s">
        <v>482</v>
      </c>
      <c r="FK2" t="s">
        <v>483</v>
      </c>
      <c r="FL2" t="s">
        <v>216</v>
      </c>
      <c r="FM2" t="s">
        <v>484</v>
      </c>
      <c r="FN2" t="s">
        <v>485</v>
      </c>
      <c r="FP2" t="s">
        <v>118</v>
      </c>
      <c r="FQ2" t="s">
        <v>480</v>
      </c>
      <c r="FR2" t="s">
        <v>481</v>
      </c>
      <c r="FS2" t="s">
        <v>482</v>
      </c>
      <c r="FT2" t="s">
        <v>483</v>
      </c>
      <c r="FU2" t="s">
        <v>216</v>
      </c>
      <c r="FV2" t="s">
        <v>484</v>
      </c>
      <c r="FW2" t="s">
        <v>485</v>
      </c>
      <c r="FY2" t="s">
        <v>118</v>
      </c>
      <c r="FZ2" t="s">
        <v>480</v>
      </c>
      <c r="GA2" t="s">
        <v>481</v>
      </c>
      <c r="GB2" t="s">
        <v>482</v>
      </c>
      <c r="GC2" t="s">
        <v>483</v>
      </c>
      <c r="GD2" t="s">
        <v>216</v>
      </c>
      <c r="GE2" t="s">
        <v>484</v>
      </c>
      <c r="GF2" t="s">
        <v>485</v>
      </c>
      <c r="GH2" t="s">
        <v>118</v>
      </c>
      <c r="GI2" t="s">
        <v>480</v>
      </c>
      <c r="GJ2" t="s">
        <v>481</v>
      </c>
      <c r="GK2" t="s">
        <v>482</v>
      </c>
      <c r="GL2" t="s">
        <v>483</v>
      </c>
      <c r="GM2" t="s">
        <v>216</v>
      </c>
      <c r="GN2" t="s">
        <v>484</v>
      </c>
      <c r="GO2" t="s">
        <v>485</v>
      </c>
      <c r="GQ2" t="s">
        <v>118</v>
      </c>
      <c r="GR2" t="s">
        <v>480</v>
      </c>
      <c r="GS2" t="s">
        <v>481</v>
      </c>
      <c r="GT2" t="s">
        <v>482</v>
      </c>
      <c r="GU2" t="s">
        <v>483</v>
      </c>
      <c r="GV2" t="s">
        <v>216</v>
      </c>
      <c r="GW2" t="s">
        <v>484</v>
      </c>
      <c r="GX2" t="s">
        <v>485</v>
      </c>
      <c r="GZ2" t="s">
        <v>118</v>
      </c>
      <c r="HA2" t="s">
        <v>480</v>
      </c>
      <c r="HB2" t="s">
        <v>481</v>
      </c>
      <c r="HC2" t="s">
        <v>482</v>
      </c>
      <c r="HD2" t="s">
        <v>483</v>
      </c>
      <c r="HE2" t="s">
        <v>216</v>
      </c>
      <c r="HF2" t="s">
        <v>484</v>
      </c>
      <c r="HG2" t="s">
        <v>485</v>
      </c>
      <c r="HI2" t="s">
        <v>118</v>
      </c>
      <c r="HJ2" t="s">
        <v>480</v>
      </c>
      <c r="HK2" t="s">
        <v>481</v>
      </c>
      <c r="HL2" t="s">
        <v>482</v>
      </c>
      <c r="HM2" t="s">
        <v>483</v>
      </c>
      <c r="HN2" t="s">
        <v>216</v>
      </c>
      <c r="HO2" t="s">
        <v>484</v>
      </c>
      <c r="HP2" t="s">
        <v>485</v>
      </c>
      <c r="HR2" t="s">
        <v>118</v>
      </c>
      <c r="HS2" t="s">
        <v>480</v>
      </c>
      <c r="HT2" t="s">
        <v>481</v>
      </c>
      <c r="HU2" t="s">
        <v>482</v>
      </c>
      <c r="HV2" t="s">
        <v>483</v>
      </c>
      <c r="HW2" t="s">
        <v>216</v>
      </c>
      <c r="HX2" t="s">
        <v>484</v>
      </c>
      <c r="HY2" t="s">
        <v>485</v>
      </c>
      <c r="IA2" t="s">
        <v>118</v>
      </c>
      <c r="IB2" t="s">
        <v>480</v>
      </c>
      <c r="IC2" t="s">
        <v>481</v>
      </c>
      <c r="ID2" t="s">
        <v>482</v>
      </c>
      <c r="IE2" t="s">
        <v>483</v>
      </c>
      <c r="IF2" t="s">
        <v>216</v>
      </c>
      <c r="IG2" t="s">
        <v>484</v>
      </c>
      <c r="IH2" t="s">
        <v>485</v>
      </c>
      <c r="IJ2" t="s">
        <v>118</v>
      </c>
      <c r="IK2" t="s">
        <v>480</v>
      </c>
      <c r="IL2" t="s">
        <v>481</v>
      </c>
      <c r="IM2" t="s">
        <v>482</v>
      </c>
      <c r="IN2" t="s">
        <v>483</v>
      </c>
      <c r="IO2" t="s">
        <v>216</v>
      </c>
      <c r="IP2" t="s">
        <v>484</v>
      </c>
      <c r="IQ2" t="s">
        <v>485</v>
      </c>
      <c r="IS2" t="s">
        <v>118</v>
      </c>
      <c r="IT2" t="s">
        <v>480</v>
      </c>
      <c r="IU2" t="s">
        <v>481</v>
      </c>
      <c r="IV2" t="s">
        <v>482</v>
      </c>
      <c r="IW2" t="s">
        <v>483</v>
      </c>
      <c r="IX2" t="s">
        <v>216</v>
      </c>
      <c r="IY2" t="s">
        <v>484</v>
      </c>
      <c r="IZ2" t="s">
        <v>485</v>
      </c>
      <c r="JB2" t="s">
        <v>118</v>
      </c>
      <c r="JC2" t="s">
        <v>480</v>
      </c>
      <c r="JD2" t="s">
        <v>481</v>
      </c>
      <c r="JE2" t="s">
        <v>482</v>
      </c>
      <c r="JF2" t="s">
        <v>483</v>
      </c>
      <c r="JG2" t="s">
        <v>216</v>
      </c>
      <c r="JH2" t="s">
        <v>484</v>
      </c>
      <c r="JI2" t="s">
        <v>485</v>
      </c>
      <c r="JK2" t="s">
        <v>118</v>
      </c>
      <c r="JL2" t="s">
        <v>480</v>
      </c>
      <c r="JM2" t="s">
        <v>481</v>
      </c>
      <c r="JN2" t="s">
        <v>482</v>
      </c>
      <c r="JO2" t="s">
        <v>483</v>
      </c>
      <c r="JP2" t="s">
        <v>216</v>
      </c>
      <c r="JQ2" t="s">
        <v>484</v>
      </c>
      <c r="JR2" t="s">
        <v>485</v>
      </c>
      <c r="JT2" t="s">
        <v>118</v>
      </c>
      <c r="JU2" t="s">
        <v>480</v>
      </c>
      <c r="JV2" t="s">
        <v>481</v>
      </c>
      <c r="JW2" t="s">
        <v>482</v>
      </c>
      <c r="JX2" t="s">
        <v>483</v>
      </c>
      <c r="JY2" t="s">
        <v>216</v>
      </c>
      <c r="JZ2" t="s">
        <v>484</v>
      </c>
      <c r="KA2" t="s">
        <v>485</v>
      </c>
      <c r="KC2" t="s">
        <v>118</v>
      </c>
      <c r="KD2" t="s">
        <v>480</v>
      </c>
      <c r="KE2" t="s">
        <v>481</v>
      </c>
      <c r="KF2" t="s">
        <v>482</v>
      </c>
      <c r="KG2" t="s">
        <v>483</v>
      </c>
      <c r="KH2" t="s">
        <v>216</v>
      </c>
      <c r="KI2" t="s">
        <v>484</v>
      </c>
      <c r="KJ2" t="s">
        <v>485</v>
      </c>
      <c r="KL2" t="s">
        <v>118</v>
      </c>
      <c r="KM2" t="s">
        <v>480</v>
      </c>
      <c r="KN2" t="s">
        <v>481</v>
      </c>
      <c r="KO2" t="s">
        <v>482</v>
      </c>
      <c r="KP2" t="s">
        <v>483</v>
      </c>
      <c r="KQ2" t="s">
        <v>216</v>
      </c>
      <c r="KR2" t="s">
        <v>484</v>
      </c>
      <c r="KS2" t="s">
        <v>485</v>
      </c>
      <c r="KU2" t="s">
        <v>118</v>
      </c>
      <c r="KV2" t="s">
        <v>480</v>
      </c>
      <c r="KW2" t="s">
        <v>481</v>
      </c>
      <c r="KX2" t="s">
        <v>482</v>
      </c>
      <c r="KY2" t="s">
        <v>483</v>
      </c>
      <c r="KZ2" t="s">
        <v>216</v>
      </c>
      <c r="LA2" t="s">
        <v>484</v>
      </c>
      <c r="LB2" t="s">
        <v>485</v>
      </c>
      <c r="LD2" t="s">
        <v>118</v>
      </c>
      <c r="LE2" t="s">
        <v>480</v>
      </c>
      <c r="LF2" t="s">
        <v>481</v>
      </c>
      <c r="LG2" t="s">
        <v>482</v>
      </c>
      <c r="LH2" t="s">
        <v>483</v>
      </c>
      <c r="LI2" t="s">
        <v>216</v>
      </c>
      <c r="LJ2" t="s">
        <v>484</v>
      </c>
      <c r="LK2" t="s">
        <v>485</v>
      </c>
      <c r="LM2" t="s">
        <v>118</v>
      </c>
      <c r="LN2" t="s">
        <v>480</v>
      </c>
      <c r="LO2" t="s">
        <v>481</v>
      </c>
      <c r="LP2" t="s">
        <v>482</v>
      </c>
      <c r="LQ2" t="s">
        <v>483</v>
      </c>
      <c r="LR2" t="s">
        <v>216</v>
      </c>
      <c r="LS2" t="s">
        <v>484</v>
      </c>
      <c r="LT2" t="s">
        <v>485</v>
      </c>
      <c r="LV2" t="s">
        <v>118</v>
      </c>
      <c r="LW2" t="s">
        <v>480</v>
      </c>
      <c r="LX2" t="s">
        <v>481</v>
      </c>
      <c r="LY2" t="s">
        <v>482</v>
      </c>
      <c r="LZ2" t="s">
        <v>483</v>
      </c>
      <c r="MA2" t="s">
        <v>216</v>
      </c>
      <c r="MB2" t="s">
        <v>484</v>
      </c>
      <c r="MC2" t="s">
        <v>485</v>
      </c>
      <c r="ME2" t="s">
        <v>118</v>
      </c>
      <c r="MF2" t="s">
        <v>480</v>
      </c>
      <c r="MG2" t="s">
        <v>481</v>
      </c>
      <c r="MH2" t="s">
        <v>482</v>
      </c>
      <c r="MI2" t="s">
        <v>483</v>
      </c>
      <c r="MJ2" t="s">
        <v>216</v>
      </c>
      <c r="MK2" t="s">
        <v>484</v>
      </c>
      <c r="ML2" t="s">
        <v>485</v>
      </c>
      <c r="MN2" t="s">
        <v>118</v>
      </c>
      <c r="MO2" t="s">
        <v>480</v>
      </c>
      <c r="MP2" t="s">
        <v>481</v>
      </c>
      <c r="MQ2" t="s">
        <v>482</v>
      </c>
      <c r="MR2" t="s">
        <v>483</v>
      </c>
      <c r="MS2" t="s">
        <v>216</v>
      </c>
      <c r="MT2" t="s">
        <v>484</v>
      </c>
      <c r="MU2" t="s">
        <v>485</v>
      </c>
      <c r="MW2" t="s">
        <v>118</v>
      </c>
      <c r="MX2" t="s">
        <v>480</v>
      </c>
      <c r="MY2" t="s">
        <v>481</v>
      </c>
      <c r="MZ2" t="s">
        <v>482</v>
      </c>
      <c r="NA2" t="s">
        <v>483</v>
      </c>
      <c r="NB2" t="s">
        <v>216</v>
      </c>
      <c r="NC2" t="s">
        <v>484</v>
      </c>
      <c r="ND2" t="s">
        <v>485</v>
      </c>
      <c r="NF2" t="s">
        <v>118</v>
      </c>
      <c r="NG2" t="s">
        <v>480</v>
      </c>
      <c r="NH2" t="s">
        <v>481</v>
      </c>
      <c r="NI2" t="s">
        <v>482</v>
      </c>
      <c r="NJ2" t="s">
        <v>483</v>
      </c>
      <c r="NK2" t="s">
        <v>216</v>
      </c>
      <c r="NL2" t="s">
        <v>484</v>
      </c>
      <c r="NM2" t="s">
        <v>485</v>
      </c>
    </row>
    <row r="3" spans="1:377" x14ac:dyDescent="0.25">
      <c r="A3" s="20">
        <v>44306</v>
      </c>
      <c r="B3">
        <v>15</v>
      </c>
      <c r="C3">
        <v>18</v>
      </c>
      <c r="D3">
        <v>172</v>
      </c>
      <c r="E3">
        <v>18</v>
      </c>
      <c r="F3">
        <v>154</v>
      </c>
      <c r="G3" t="e">
        <f>NA()</f>
        <v>#N/A</v>
      </c>
      <c r="H3">
        <v>15</v>
      </c>
      <c r="J3" s="20">
        <v>44306</v>
      </c>
      <c r="K3">
        <v>1</v>
      </c>
      <c r="S3" s="20">
        <v>44537</v>
      </c>
      <c r="T3">
        <v>1.08</v>
      </c>
      <c r="AB3" t="s">
        <v>153</v>
      </c>
      <c r="AC3">
        <v>2.17</v>
      </c>
      <c r="AK3" t="s">
        <v>153</v>
      </c>
      <c r="AL3" t="e">
        <f>NA()</f>
        <v>#N/A</v>
      </c>
      <c r="AT3" t="s">
        <v>153</v>
      </c>
      <c r="AU3">
        <v>10.3</v>
      </c>
      <c r="BC3" s="20">
        <v>45698</v>
      </c>
      <c r="BD3">
        <v>55</v>
      </c>
      <c r="BE3">
        <v>30</v>
      </c>
      <c r="BL3" s="20">
        <v>44306</v>
      </c>
      <c r="BM3">
        <v>3.43</v>
      </c>
      <c r="BN3">
        <v>0.7</v>
      </c>
      <c r="BO3">
        <v>6.55</v>
      </c>
      <c r="BP3">
        <v>0.7</v>
      </c>
      <c r="BQ3">
        <v>5.85</v>
      </c>
      <c r="BR3">
        <v>3.43</v>
      </c>
      <c r="BS3" t="e">
        <f>NA()</f>
        <v>#N/A</v>
      </c>
      <c r="BU3" s="20">
        <v>44306</v>
      </c>
      <c r="BV3">
        <v>1.22</v>
      </c>
      <c r="BW3">
        <v>0.85</v>
      </c>
      <c r="BX3">
        <v>1.67</v>
      </c>
      <c r="BY3">
        <v>0.85</v>
      </c>
      <c r="BZ3">
        <v>0.82</v>
      </c>
      <c r="CA3">
        <v>1.22</v>
      </c>
      <c r="CB3" t="e">
        <f>NA()</f>
        <v>#N/A</v>
      </c>
      <c r="CD3" s="20">
        <v>44121</v>
      </c>
      <c r="CE3">
        <v>12.3</v>
      </c>
      <c r="CF3">
        <v>10</v>
      </c>
      <c r="CG3">
        <v>14</v>
      </c>
      <c r="CH3">
        <v>10</v>
      </c>
      <c r="CI3">
        <v>4</v>
      </c>
      <c r="CJ3">
        <v>12.3</v>
      </c>
      <c r="CK3" t="e">
        <f>NA()</f>
        <v>#N/A</v>
      </c>
      <c r="CM3" s="20">
        <v>44121</v>
      </c>
      <c r="CN3">
        <v>4.7300000000000004</v>
      </c>
      <c r="CO3">
        <v>3.2</v>
      </c>
      <c r="CP3">
        <v>4.5</v>
      </c>
      <c r="CQ3">
        <v>3.2</v>
      </c>
      <c r="CR3">
        <v>1.3</v>
      </c>
      <c r="CS3" t="e">
        <f>NA()</f>
        <v>#N/A</v>
      </c>
      <c r="CT3">
        <v>4.7300000000000004</v>
      </c>
      <c r="CV3" s="20">
        <v>44121</v>
      </c>
      <c r="CW3">
        <v>37.5</v>
      </c>
      <c r="CX3">
        <v>28</v>
      </c>
      <c r="CY3">
        <v>42</v>
      </c>
      <c r="CZ3">
        <v>28</v>
      </c>
      <c r="DA3">
        <v>14</v>
      </c>
      <c r="DB3">
        <v>37.5</v>
      </c>
      <c r="DC3" t="e">
        <f>NA()</f>
        <v>#N/A</v>
      </c>
      <c r="DE3" s="20">
        <v>44121</v>
      </c>
      <c r="DF3">
        <v>79.3</v>
      </c>
      <c r="DG3">
        <v>78</v>
      </c>
      <c r="DH3">
        <v>100</v>
      </c>
      <c r="DI3">
        <v>78</v>
      </c>
      <c r="DJ3">
        <v>22</v>
      </c>
      <c r="DK3">
        <v>79.3</v>
      </c>
      <c r="DL3" t="e">
        <f>NA()</f>
        <v>#N/A</v>
      </c>
      <c r="DN3" s="20">
        <v>44121</v>
      </c>
      <c r="DO3">
        <v>26</v>
      </c>
      <c r="DP3">
        <v>26</v>
      </c>
      <c r="DQ3">
        <v>34</v>
      </c>
      <c r="DR3">
        <v>26</v>
      </c>
      <c r="DS3">
        <v>8</v>
      </c>
      <c r="DT3">
        <v>26</v>
      </c>
      <c r="DU3" t="e">
        <f>NA()</f>
        <v>#N/A</v>
      </c>
      <c r="DW3" s="20">
        <v>44121</v>
      </c>
      <c r="DX3">
        <v>32.799999999999997</v>
      </c>
      <c r="DY3">
        <v>30</v>
      </c>
      <c r="DZ3">
        <v>36</v>
      </c>
      <c r="EA3">
        <v>30</v>
      </c>
      <c r="EB3">
        <v>6</v>
      </c>
      <c r="EC3">
        <v>32.799999999999997</v>
      </c>
      <c r="ED3" t="e">
        <f>NA()</f>
        <v>#N/A</v>
      </c>
      <c r="EF3" s="20">
        <v>44121</v>
      </c>
      <c r="EG3">
        <v>13.7</v>
      </c>
      <c r="EH3">
        <v>11.3</v>
      </c>
      <c r="EI3">
        <v>15.3</v>
      </c>
      <c r="EJ3">
        <v>11.3</v>
      </c>
      <c r="EK3">
        <v>4</v>
      </c>
      <c r="EL3">
        <v>13.7</v>
      </c>
      <c r="EM3" t="e">
        <f>NA()</f>
        <v>#N/A</v>
      </c>
      <c r="EO3" s="20">
        <v>44121</v>
      </c>
      <c r="EP3">
        <v>6350</v>
      </c>
      <c r="EQ3">
        <v>5000</v>
      </c>
      <c r="ER3">
        <v>14500</v>
      </c>
      <c r="ES3">
        <v>5000</v>
      </c>
      <c r="ET3">
        <v>9500</v>
      </c>
      <c r="EU3">
        <v>6350</v>
      </c>
      <c r="EV3" t="e">
        <f>NA()</f>
        <v>#N/A</v>
      </c>
      <c r="EX3" s="20">
        <v>44121</v>
      </c>
      <c r="EY3">
        <v>1270</v>
      </c>
      <c r="EZ3">
        <v>1000</v>
      </c>
      <c r="FA3">
        <v>8500</v>
      </c>
      <c r="FB3">
        <v>1000</v>
      </c>
      <c r="FC3">
        <v>7500</v>
      </c>
      <c r="FD3">
        <v>1270</v>
      </c>
      <c r="FE3" t="e">
        <f>NA()</f>
        <v>#N/A</v>
      </c>
      <c r="FG3" s="20">
        <v>44121</v>
      </c>
      <c r="FH3">
        <v>4572</v>
      </c>
      <c r="FI3">
        <v>4000</v>
      </c>
      <c r="FJ3">
        <v>13500</v>
      </c>
      <c r="FK3">
        <v>4000</v>
      </c>
      <c r="FL3">
        <v>9500</v>
      </c>
      <c r="FM3">
        <v>4572</v>
      </c>
      <c r="FN3" t="e">
        <f>NA()</f>
        <v>#N/A</v>
      </c>
      <c r="FP3" s="20">
        <v>44121</v>
      </c>
      <c r="FQ3">
        <v>444</v>
      </c>
      <c r="FR3">
        <v>80</v>
      </c>
      <c r="FS3">
        <v>1100</v>
      </c>
      <c r="FT3">
        <v>80</v>
      </c>
      <c r="FU3">
        <v>1020</v>
      </c>
      <c r="FV3">
        <v>444</v>
      </c>
      <c r="FW3" t="e">
        <f>NA()</f>
        <v>#N/A</v>
      </c>
      <c r="FY3" s="20">
        <v>44121</v>
      </c>
      <c r="FZ3">
        <v>64</v>
      </c>
      <c r="GA3">
        <v>40</v>
      </c>
      <c r="GB3">
        <v>850</v>
      </c>
      <c r="GC3">
        <v>40</v>
      </c>
      <c r="GD3">
        <v>810</v>
      </c>
      <c r="GE3">
        <v>64</v>
      </c>
      <c r="GF3" t="e">
        <f>NA()</f>
        <v>#N/A</v>
      </c>
      <c r="GH3" s="20">
        <v>45580</v>
      </c>
      <c r="GI3">
        <v>30</v>
      </c>
      <c r="GJ3">
        <v>0</v>
      </c>
      <c r="GK3">
        <v>200</v>
      </c>
      <c r="GL3">
        <v>0</v>
      </c>
      <c r="GM3">
        <v>200</v>
      </c>
      <c r="GN3">
        <v>30</v>
      </c>
      <c r="GO3" t="e">
        <f>NA()</f>
        <v>#N/A</v>
      </c>
      <c r="GQ3" s="20">
        <v>44121</v>
      </c>
      <c r="GR3">
        <v>180000</v>
      </c>
      <c r="GS3">
        <v>150000</v>
      </c>
      <c r="GT3">
        <v>450000</v>
      </c>
      <c r="GU3">
        <v>150000</v>
      </c>
      <c r="GV3">
        <v>300000</v>
      </c>
      <c r="GW3">
        <v>180000</v>
      </c>
      <c r="GX3" t="e">
        <f>NA()</f>
        <v>#N/A</v>
      </c>
      <c r="GZ3" s="20">
        <v>44601</v>
      </c>
      <c r="HA3">
        <v>1.9</v>
      </c>
      <c r="HB3">
        <v>0</v>
      </c>
      <c r="HC3">
        <v>10</v>
      </c>
      <c r="HD3">
        <v>0</v>
      </c>
      <c r="HE3">
        <v>10</v>
      </c>
      <c r="HF3">
        <v>1.9</v>
      </c>
      <c r="HG3" t="e">
        <f>NA()</f>
        <v>#N/A</v>
      </c>
      <c r="HI3" s="20">
        <v>45580</v>
      </c>
      <c r="HJ3">
        <v>11.6</v>
      </c>
      <c r="HK3">
        <v>7</v>
      </c>
      <c r="HL3">
        <v>140</v>
      </c>
      <c r="HM3">
        <v>7</v>
      </c>
      <c r="HN3">
        <v>133</v>
      </c>
      <c r="HO3">
        <v>11.6</v>
      </c>
      <c r="HP3" t="e">
        <f>NA()</f>
        <v>#N/A</v>
      </c>
      <c r="HR3" s="20">
        <v>45866</v>
      </c>
      <c r="HS3">
        <v>44</v>
      </c>
      <c r="HT3">
        <v>50</v>
      </c>
      <c r="HU3">
        <v>120</v>
      </c>
      <c r="HV3">
        <v>50</v>
      </c>
      <c r="HW3">
        <v>70</v>
      </c>
      <c r="HX3" t="e">
        <f>NA()</f>
        <v>#N/A</v>
      </c>
      <c r="HY3">
        <v>44</v>
      </c>
      <c r="IA3" s="20">
        <v>45866</v>
      </c>
      <c r="IB3">
        <v>11</v>
      </c>
      <c r="IC3">
        <v>15</v>
      </c>
      <c r="ID3">
        <v>50</v>
      </c>
      <c r="IE3">
        <v>15</v>
      </c>
      <c r="IF3">
        <v>35</v>
      </c>
      <c r="IG3" t="e">
        <f>NA()</f>
        <v>#N/A</v>
      </c>
      <c r="IH3">
        <v>11</v>
      </c>
      <c r="IJ3" s="20">
        <v>46056</v>
      </c>
      <c r="IK3">
        <v>332</v>
      </c>
      <c r="IL3">
        <v>250</v>
      </c>
      <c r="IM3">
        <v>425</v>
      </c>
      <c r="IN3">
        <v>250</v>
      </c>
      <c r="IO3">
        <v>175</v>
      </c>
      <c r="IP3">
        <v>332</v>
      </c>
      <c r="IQ3" t="e">
        <f>NA()</f>
        <v>#N/A</v>
      </c>
      <c r="IS3" s="20">
        <v>44537</v>
      </c>
      <c r="IT3">
        <v>29.9</v>
      </c>
      <c r="IU3">
        <v>20</v>
      </c>
      <c r="IV3">
        <v>60</v>
      </c>
      <c r="IW3">
        <v>20</v>
      </c>
      <c r="IX3">
        <v>40</v>
      </c>
      <c r="IY3">
        <v>29.9</v>
      </c>
      <c r="IZ3" t="e">
        <f>NA()</f>
        <v>#N/A</v>
      </c>
      <c r="JB3" s="20">
        <v>44306</v>
      </c>
      <c r="JC3">
        <v>94</v>
      </c>
      <c r="JD3">
        <v>60</v>
      </c>
      <c r="JE3">
        <v>99</v>
      </c>
      <c r="JF3">
        <v>60</v>
      </c>
      <c r="JG3">
        <v>39</v>
      </c>
      <c r="JH3">
        <v>94</v>
      </c>
      <c r="JI3" t="e">
        <f>NA()</f>
        <v>#N/A</v>
      </c>
      <c r="JK3" s="20">
        <v>44121</v>
      </c>
      <c r="JL3">
        <v>135</v>
      </c>
      <c r="JM3">
        <v>136</v>
      </c>
      <c r="JN3">
        <v>145</v>
      </c>
      <c r="JO3">
        <v>136</v>
      </c>
      <c r="JP3">
        <v>9</v>
      </c>
      <c r="JQ3" t="e">
        <f>NA()</f>
        <v>#N/A</v>
      </c>
      <c r="JR3">
        <v>135</v>
      </c>
      <c r="JT3" s="20">
        <v>44121</v>
      </c>
      <c r="JU3">
        <v>5.0999999999999996</v>
      </c>
      <c r="JV3">
        <v>3.5</v>
      </c>
      <c r="JW3">
        <v>5.0999999999999996</v>
      </c>
      <c r="JX3">
        <v>3.5</v>
      </c>
      <c r="JY3">
        <v>1.6</v>
      </c>
      <c r="JZ3">
        <v>5.0999999999999996</v>
      </c>
      <c r="KA3" t="e">
        <f>NA()</f>
        <v>#N/A</v>
      </c>
      <c r="KC3" s="20">
        <v>44623</v>
      </c>
      <c r="KD3">
        <v>1.325</v>
      </c>
      <c r="KE3">
        <v>1.1000000000000001</v>
      </c>
      <c r="KF3">
        <v>1.48</v>
      </c>
      <c r="KG3">
        <v>1.1000000000000001</v>
      </c>
      <c r="KH3">
        <v>0.37999999999999989</v>
      </c>
      <c r="KI3">
        <v>1.325</v>
      </c>
      <c r="KJ3" t="e">
        <f>NA()</f>
        <v>#N/A</v>
      </c>
      <c r="KL3" s="20">
        <v>44306</v>
      </c>
      <c r="KM3">
        <v>22.8</v>
      </c>
      <c r="KN3">
        <v>5.3</v>
      </c>
      <c r="KO3">
        <v>22.5</v>
      </c>
      <c r="KP3">
        <v>5.3</v>
      </c>
      <c r="KQ3">
        <v>17.2</v>
      </c>
      <c r="KR3" t="e">
        <f>NA()</f>
        <v>#N/A</v>
      </c>
      <c r="KS3">
        <v>22.8</v>
      </c>
      <c r="KU3" s="20">
        <v>44306</v>
      </c>
      <c r="KV3">
        <v>0.16</v>
      </c>
      <c r="KW3">
        <v>0.17</v>
      </c>
      <c r="KX3">
        <v>0.52</v>
      </c>
      <c r="KY3">
        <v>0.17</v>
      </c>
      <c r="KZ3">
        <v>0.35</v>
      </c>
      <c r="LA3" t="e">
        <f>NA()</f>
        <v>#N/A</v>
      </c>
      <c r="LB3">
        <v>0.16</v>
      </c>
      <c r="LD3" s="20">
        <v>44306</v>
      </c>
      <c r="LE3">
        <v>14</v>
      </c>
      <c r="LF3">
        <v>10.8</v>
      </c>
      <c r="LG3">
        <v>38.4</v>
      </c>
      <c r="LH3">
        <v>10.8</v>
      </c>
      <c r="LI3">
        <v>27.6</v>
      </c>
      <c r="LJ3">
        <v>14</v>
      </c>
      <c r="LK3" t="e">
        <f>NA()</f>
        <v>#N/A</v>
      </c>
      <c r="LM3" s="20">
        <v>44537</v>
      </c>
      <c r="LN3">
        <v>5.0999999999999996</v>
      </c>
      <c r="LO3">
        <v>4.4000000000000004</v>
      </c>
      <c r="LP3">
        <v>6.2</v>
      </c>
      <c r="LQ3">
        <v>4.4000000000000004</v>
      </c>
      <c r="LR3">
        <v>1.8</v>
      </c>
      <c r="LS3">
        <v>5.0999999999999996</v>
      </c>
      <c r="LT3" t="e">
        <f>NA()</f>
        <v>#N/A</v>
      </c>
      <c r="LV3" s="20">
        <v>45580</v>
      </c>
      <c r="LW3">
        <v>104.7</v>
      </c>
      <c r="LX3">
        <v>0</v>
      </c>
      <c r="LY3">
        <v>313.5</v>
      </c>
      <c r="LZ3">
        <v>0</v>
      </c>
      <c r="MA3">
        <v>313.5</v>
      </c>
      <c r="MB3">
        <v>104.7</v>
      </c>
      <c r="MC3" t="e">
        <f>NA()</f>
        <v>#N/A</v>
      </c>
      <c r="ME3" s="20">
        <v>44548</v>
      </c>
      <c r="MF3">
        <v>514</v>
      </c>
      <c r="MG3">
        <v>129</v>
      </c>
      <c r="MH3">
        <v>376</v>
      </c>
      <c r="MI3">
        <v>129</v>
      </c>
      <c r="MJ3">
        <v>247</v>
      </c>
      <c r="MK3" t="e">
        <f>NA()</f>
        <v>#N/A</v>
      </c>
      <c r="ML3">
        <v>514</v>
      </c>
      <c r="MN3" s="20">
        <v>44548</v>
      </c>
      <c r="MO3">
        <v>13.4</v>
      </c>
      <c r="MP3">
        <v>0</v>
      </c>
      <c r="MQ3">
        <v>38</v>
      </c>
      <c r="MR3">
        <v>0</v>
      </c>
      <c r="MS3">
        <v>38</v>
      </c>
      <c r="MT3">
        <v>13.4</v>
      </c>
      <c r="MU3" t="e">
        <f>NA()</f>
        <v>#N/A</v>
      </c>
      <c r="MW3" s="20">
        <v>44306</v>
      </c>
      <c r="MX3">
        <v>40</v>
      </c>
      <c r="MY3">
        <v>0</v>
      </c>
      <c r="MZ3">
        <v>40</v>
      </c>
      <c r="NA3">
        <v>0</v>
      </c>
      <c r="NB3">
        <v>40</v>
      </c>
      <c r="NC3">
        <v>40</v>
      </c>
      <c r="ND3" t="e">
        <f>NA()</f>
        <v>#N/A</v>
      </c>
      <c r="NF3" s="20">
        <v>44306</v>
      </c>
      <c r="NG3">
        <v>18</v>
      </c>
      <c r="NH3">
        <v>0</v>
      </c>
      <c r="NI3">
        <v>41</v>
      </c>
      <c r="NJ3">
        <v>0</v>
      </c>
      <c r="NK3">
        <v>41</v>
      </c>
      <c r="NL3">
        <v>18</v>
      </c>
      <c r="NM3" t="e">
        <f>NA()</f>
        <v>#N/A</v>
      </c>
    </row>
    <row r="4" spans="1:377" x14ac:dyDescent="0.25">
      <c r="A4" s="20">
        <v>44548</v>
      </c>
      <c r="B4">
        <v>18</v>
      </c>
      <c r="C4">
        <v>18</v>
      </c>
      <c r="D4">
        <v>172</v>
      </c>
      <c r="E4">
        <v>18</v>
      </c>
      <c r="F4">
        <v>154</v>
      </c>
      <c r="G4">
        <v>18</v>
      </c>
      <c r="H4" t="e">
        <f>NA()</f>
        <v>#N/A</v>
      </c>
      <c r="J4" s="20">
        <v>44548</v>
      </c>
      <c r="K4">
        <v>1.5</v>
      </c>
      <c r="S4" s="20">
        <v>45670</v>
      </c>
      <c r="T4">
        <v>2.17</v>
      </c>
      <c r="AB4" t="s">
        <v>155</v>
      </c>
      <c r="AC4">
        <v>0.43</v>
      </c>
      <c r="AK4" t="s">
        <v>155</v>
      </c>
      <c r="AL4">
        <v>199</v>
      </c>
      <c r="AT4" t="s">
        <v>155</v>
      </c>
      <c r="AU4">
        <v>12.1</v>
      </c>
      <c r="BC4" s="20">
        <v>46071</v>
      </c>
      <c r="BD4">
        <v>67</v>
      </c>
      <c r="BE4">
        <v>42</v>
      </c>
      <c r="BL4" s="20">
        <v>44537</v>
      </c>
      <c r="BM4">
        <v>2.56</v>
      </c>
      <c r="BN4">
        <v>0.7</v>
      </c>
      <c r="BO4">
        <v>6.55</v>
      </c>
      <c r="BP4">
        <v>0.7</v>
      </c>
      <c r="BQ4">
        <v>5.85</v>
      </c>
      <c r="BR4">
        <v>2.56</v>
      </c>
      <c r="BS4" t="e">
        <f>NA()</f>
        <v>#N/A</v>
      </c>
      <c r="BU4" s="20">
        <v>44537</v>
      </c>
      <c r="BV4">
        <v>1.07</v>
      </c>
      <c r="BW4">
        <v>0.85</v>
      </c>
      <c r="BX4">
        <v>1.67</v>
      </c>
      <c r="BY4">
        <v>0.85</v>
      </c>
      <c r="BZ4">
        <v>0.82</v>
      </c>
      <c r="CA4">
        <v>1.07</v>
      </c>
      <c r="CB4" t="e">
        <f>NA()</f>
        <v>#N/A</v>
      </c>
      <c r="CD4" s="20">
        <v>44306</v>
      </c>
      <c r="CE4">
        <v>14.7</v>
      </c>
      <c r="CF4">
        <v>10.5</v>
      </c>
      <c r="CG4">
        <v>13.5</v>
      </c>
      <c r="CH4">
        <v>10.5</v>
      </c>
      <c r="CI4">
        <v>3</v>
      </c>
      <c r="CJ4" t="e">
        <f>NA()</f>
        <v>#N/A</v>
      </c>
      <c r="CK4">
        <v>14.7</v>
      </c>
      <c r="CM4" s="20">
        <v>44306</v>
      </c>
      <c r="CN4">
        <v>5.35</v>
      </c>
      <c r="CO4">
        <v>3.7</v>
      </c>
      <c r="CP4">
        <v>5.7</v>
      </c>
      <c r="CQ4">
        <v>3.7</v>
      </c>
      <c r="CR4">
        <v>2</v>
      </c>
      <c r="CS4">
        <v>5.35</v>
      </c>
      <c r="CT4" t="e">
        <f>NA()</f>
        <v>#N/A</v>
      </c>
      <c r="CV4" s="20">
        <v>44306</v>
      </c>
      <c r="CW4">
        <v>44.2</v>
      </c>
      <c r="CX4">
        <v>32</v>
      </c>
      <c r="CY4">
        <v>40</v>
      </c>
      <c r="CZ4">
        <v>32</v>
      </c>
      <c r="DA4">
        <v>8</v>
      </c>
      <c r="DB4" t="e">
        <f>NA()</f>
        <v>#N/A</v>
      </c>
      <c r="DC4">
        <v>44.2</v>
      </c>
      <c r="DE4" s="20">
        <v>44306</v>
      </c>
      <c r="DF4">
        <v>82.6</v>
      </c>
      <c r="DG4">
        <v>74</v>
      </c>
      <c r="DH4">
        <v>88</v>
      </c>
      <c r="DI4">
        <v>74</v>
      </c>
      <c r="DJ4">
        <v>14</v>
      </c>
      <c r="DK4">
        <v>82.6</v>
      </c>
      <c r="DL4" t="e">
        <f>NA()</f>
        <v>#N/A</v>
      </c>
      <c r="DN4" s="20">
        <v>44306</v>
      </c>
      <c r="DO4">
        <v>27.5</v>
      </c>
      <c r="DP4">
        <v>25</v>
      </c>
      <c r="DQ4">
        <v>34</v>
      </c>
      <c r="DR4">
        <v>25</v>
      </c>
      <c r="DS4">
        <v>9</v>
      </c>
      <c r="DT4">
        <v>27.5</v>
      </c>
      <c r="DU4" t="e">
        <f>NA()</f>
        <v>#N/A</v>
      </c>
      <c r="DW4" s="20">
        <v>44306</v>
      </c>
      <c r="DX4">
        <v>33.299999999999997</v>
      </c>
      <c r="DY4">
        <v>30</v>
      </c>
      <c r="DZ4">
        <v>36</v>
      </c>
      <c r="EA4">
        <v>30</v>
      </c>
      <c r="EB4">
        <v>6</v>
      </c>
      <c r="EC4">
        <v>33.299999999999997</v>
      </c>
      <c r="ED4" t="e">
        <f>NA()</f>
        <v>#N/A</v>
      </c>
      <c r="EF4" s="20">
        <v>44306</v>
      </c>
      <c r="EG4">
        <v>13.5</v>
      </c>
      <c r="EH4">
        <v>11.3</v>
      </c>
      <c r="EI4">
        <v>15.3</v>
      </c>
      <c r="EJ4">
        <v>11.3</v>
      </c>
      <c r="EK4">
        <v>4</v>
      </c>
      <c r="EL4">
        <v>13.5</v>
      </c>
      <c r="EM4" t="e">
        <f>NA()</f>
        <v>#N/A</v>
      </c>
      <c r="EO4" s="20">
        <v>44306</v>
      </c>
      <c r="EP4">
        <v>9590</v>
      </c>
      <c r="EQ4">
        <v>6000</v>
      </c>
      <c r="ER4">
        <v>11000</v>
      </c>
      <c r="ES4">
        <v>6000</v>
      </c>
      <c r="ET4">
        <v>5000</v>
      </c>
      <c r="EU4">
        <v>9590</v>
      </c>
      <c r="EV4" t="e">
        <f>NA()</f>
        <v>#N/A</v>
      </c>
      <c r="EX4" s="20">
        <v>44306</v>
      </c>
      <c r="EY4">
        <v>1055</v>
      </c>
      <c r="EZ4">
        <v>1500</v>
      </c>
      <c r="FA4">
        <v>8500</v>
      </c>
      <c r="FB4">
        <v>1500</v>
      </c>
      <c r="FC4">
        <v>7000</v>
      </c>
      <c r="FD4" t="e">
        <f>NA()</f>
        <v>#N/A</v>
      </c>
      <c r="FE4">
        <v>1055</v>
      </c>
      <c r="FG4" s="20">
        <v>44306</v>
      </c>
      <c r="FH4">
        <v>7672</v>
      </c>
      <c r="FI4">
        <v>4000</v>
      </c>
      <c r="FJ4">
        <v>10500</v>
      </c>
      <c r="FK4">
        <v>4000</v>
      </c>
      <c r="FL4">
        <v>6500</v>
      </c>
      <c r="FM4">
        <v>7672</v>
      </c>
      <c r="FN4" t="e">
        <f>NA()</f>
        <v>#N/A</v>
      </c>
      <c r="FP4" s="20">
        <v>44306</v>
      </c>
      <c r="FQ4">
        <v>671</v>
      </c>
      <c r="FR4">
        <v>80</v>
      </c>
      <c r="FS4">
        <v>1000</v>
      </c>
      <c r="FT4">
        <v>80</v>
      </c>
      <c r="FU4">
        <v>920</v>
      </c>
      <c r="FV4">
        <v>671</v>
      </c>
      <c r="FW4" t="e">
        <f>NA()</f>
        <v>#N/A</v>
      </c>
      <c r="FY4" s="20">
        <v>44306</v>
      </c>
      <c r="FZ4">
        <v>192</v>
      </c>
      <c r="GA4">
        <v>40</v>
      </c>
      <c r="GB4">
        <v>700</v>
      </c>
      <c r="GC4">
        <v>40</v>
      </c>
      <c r="GD4">
        <v>660</v>
      </c>
      <c r="GE4">
        <v>192</v>
      </c>
      <c r="GF4" t="e">
        <f>NA()</f>
        <v>#N/A</v>
      </c>
      <c r="GH4" s="20">
        <v>45805</v>
      </c>
      <c r="GI4">
        <v>60</v>
      </c>
      <c r="GJ4">
        <v>0</v>
      </c>
      <c r="GK4">
        <v>200</v>
      </c>
      <c r="GL4">
        <v>0</v>
      </c>
      <c r="GM4">
        <v>200</v>
      </c>
      <c r="GN4">
        <v>60</v>
      </c>
      <c r="GO4" t="e">
        <f>NA()</f>
        <v>#N/A</v>
      </c>
      <c r="GQ4" s="20">
        <v>44306</v>
      </c>
      <c r="GR4">
        <v>185000</v>
      </c>
      <c r="GS4">
        <v>150000</v>
      </c>
      <c r="GT4">
        <v>450000</v>
      </c>
      <c r="GU4">
        <v>150000</v>
      </c>
      <c r="GV4">
        <v>300000</v>
      </c>
      <c r="GW4">
        <v>185000</v>
      </c>
      <c r="GX4" t="e">
        <f>NA()</f>
        <v>#N/A</v>
      </c>
      <c r="GZ4" s="20">
        <v>44621</v>
      </c>
      <c r="HA4">
        <v>1</v>
      </c>
      <c r="HB4">
        <v>0</v>
      </c>
      <c r="HC4">
        <v>10</v>
      </c>
      <c r="HD4">
        <v>0</v>
      </c>
      <c r="HE4">
        <v>10</v>
      </c>
      <c r="HF4">
        <v>1</v>
      </c>
      <c r="HG4" t="e">
        <f>NA()</f>
        <v>#N/A</v>
      </c>
      <c r="HI4" s="20">
        <v>45866</v>
      </c>
      <c r="HJ4">
        <v>6.9</v>
      </c>
      <c r="HK4">
        <v>7</v>
      </c>
      <c r="HL4">
        <v>140</v>
      </c>
      <c r="HM4">
        <v>7</v>
      </c>
      <c r="HN4">
        <v>133</v>
      </c>
      <c r="HO4" t="e">
        <f>NA()</f>
        <v>#N/A</v>
      </c>
      <c r="HP4">
        <v>6.9</v>
      </c>
      <c r="HR4" s="20">
        <v>46056</v>
      </c>
      <c r="HS4">
        <v>83</v>
      </c>
      <c r="HT4">
        <v>50</v>
      </c>
      <c r="HU4">
        <v>120</v>
      </c>
      <c r="HV4">
        <v>50</v>
      </c>
      <c r="HW4">
        <v>70</v>
      </c>
      <c r="HX4">
        <v>83</v>
      </c>
      <c r="HY4" t="e">
        <f>NA()</f>
        <v>#N/A</v>
      </c>
      <c r="IA4" s="20">
        <v>46246</v>
      </c>
      <c r="IB4">
        <v>37</v>
      </c>
      <c r="IC4">
        <v>15</v>
      </c>
      <c r="ID4">
        <v>50</v>
      </c>
      <c r="IE4">
        <v>15</v>
      </c>
      <c r="IF4">
        <v>35</v>
      </c>
      <c r="IG4">
        <v>37</v>
      </c>
      <c r="IH4" t="e">
        <f>NA()</f>
        <v>#N/A</v>
      </c>
      <c r="IJ4" s="20">
        <v>46246</v>
      </c>
      <c r="IK4">
        <v>333</v>
      </c>
      <c r="IL4">
        <v>250</v>
      </c>
      <c r="IM4">
        <v>425</v>
      </c>
      <c r="IN4">
        <v>250</v>
      </c>
      <c r="IO4">
        <v>175</v>
      </c>
      <c r="IP4">
        <v>333</v>
      </c>
      <c r="IQ4" t="e">
        <f>NA()</f>
        <v>#N/A</v>
      </c>
      <c r="IS4" s="20">
        <v>45580</v>
      </c>
      <c r="IT4">
        <v>28.9</v>
      </c>
      <c r="IU4">
        <v>20</v>
      </c>
      <c r="IV4">
        <v>60</v>
      </c>
      <c r="IW4">
        <v>20</v>
      </c>
      <c r="IX4">
        <v>40</v>
      </c>
      <c r="IY4">
        <v>28.9</v>
      </c>
      <c r="IZ4" t="e">
        <f>NA()</f>
        <v>#N/A</v>
      </c>
      <c r="JB4" s="20">
        <v>44537</v>
      </c>
      <c r="JC4">
        <v>60</v>
      </c>
      <c r="JD4">
        <v>60</v>
      </c>
      <c r="JE4">
        <v>99</v>
      </c>
      <c r="JF4">
        <v>60</v>
      </c>
      <c r="JG4">
        <v>39</v>
      </c>
      <c r="JH4">
        <v>60</v>
      </c>
      <c r="JI4" t="e">
        <f>NA()</f>
        <v>#N/A</v>
      </c>
      <c r="JK4" s="20">
        <v>44306</v>
      </c>
      <c r="JL4">
        <v>136</v>
      </c>
      <c r="JM4">
        <v>136</v>
      </c>
      <c r="JN4">
        <v>145</v>
      </c>
      <c r="JO4">
        <v>136</v>
      </c>
      <c r="JP4">
        <v>9</v>
      </c>
      <c r="JQ4">
        <v>136</v>
      </c>
      <c r="JR4" t="e">
        <f>NA()</f>
        <v>#N/A</v>
      </c>
      <c r="JT4" s="20">
        <v>44306</v>
      </c>
      <c r="JU4">
        <v>4.9000000000000004</v>
      </c>
      <c r="JV4">
        <v>3.5</v>
      </c>
      <c r="JW4">
        <v>5.0999999999999996</v>
      </c>
      <c r="JX4">
        <v>3.5</v>
      </c>
      <c r="JY4">
        <v>1.6</v>
      </c>
      <c r="JZ4">
        <v>4.9000000000000004</v>
      </c>
      <c r="KA4" t="e">
        <f>NA()</f>
        <v>#N/A</v>
      </c>
      <c r="KC4" s="20">
        <v>45580</v>
      </c>
      <c r="KD4">
        <v>1.23</v>
      </c>
      <c r="KE4">
        <v>1.2</v>
      </c>
      <c r="KF4">
        <v>1.38</v>
      </c>
      <c r="KG4">
        <v>1.2</v>
      </c>
      <c r="KH4">
        <v>0.17999999999999991</v>
      </c>
      <c r="KI4">
        <v>1.23</v>
      </c>
      <c r="KJ4" t="e">
        <f>NA()</f>
        <v>#N/A</v>
      </c>
      <c r="KL4" s="20">
        <v>44537</v>
      </c>
      <c r="KM4">
        <v>26.3</v>
      </c>
      <c r="KN4">
        <v>5.3</v>
      </c>
      <c r="KO4">
        <v>22.5</v>
      </c>
      <c r="KP4">
        <v>5.3</v>
      </c>
      <c r="KQ4">
        <v>17.2</v>
      </c>
      <c r="KR4" t="e">
        <f>NA()</f>
        <v>#N/A</v>
      </c>
      <c r="KS4">
        <v>26.3</v>
      </c>
      <c r="KU4" s="20">
        <v>44537</v>
      </c>
      <c r="KV4">
        <v>0.18</v>
      </c>
      <c r="KW4">
        <v>0.18</v>
      </c>
      <c r="KX4">
        <v>0.49</v>
      </c>
      <c r="KY4">
        <v>0.18</v>
      </c>
      <c r="KZ4">
        <v>0.31</v>
      </c>
      <c r="LA4">
        <v>0.18</v>
      </c>
      <c r="LB4" t="e">
        <f>NA()</f>
        <v>#N/A</v>
      </c>
      <c r="LD4" s="20">
        <v>46246</v>
      </c>
      <c r="LE4">
        <v>27.8</v>
      </c>
      <c r="LF4">
        <v>10.8</v>
      </c>
      <c r="LG4">
        <v>38.4</v>
      </c>
      <c r="LH4">
        <v>10.8</v>
      </c>
      <c r="LI4">
        <v>27.6</v>
      </c>
      <c r="LJ4">
        <v>27.8</v>
      </c>
      <c r="LK4" t="e">
        <f>NA()</f>
        <v>#N/A</v>
      </c>
      <c r="LM4" s="20">
        <v>45580</v>
      </c>
      <c r="LN4">
        <v>5.2</v>
      </c>
      <c r="LO4">
        <v>4.4000000000000004</v>
      </c>
      <c r="LP4">
        <v>6.2</v>
      </c>
      <c r="LQ4">
        <v>4.4000000000000004</v>
      </c>
      <c r="LR4">
        <v>1.8</v>
      </c>
      <c r="LS4">
        <v>5.2</v>
      </c>
      <c r="LT4" t="e">
        <f>NA()</f>
        <v>#N/A</v>
      </c>
      <c r="LV4" s="20">
        <v>46056</v>
      </c>
      <c r="LW4">
        <v>120.3</v>
      </c>
      <c r="LX4">
        <v>0</v>
      </c>
      <c r="LY4">
        <v>555.1</v>
      </c>
      <c r="LZ4">
        <v>0</v>
      </c>
      <c r="MA4">
        <v>555.1</v>
      </c>
      <c r="MB4">
        <v>120.3</v>
      </c>
      <c r="MC4" t="e">
        <f>NA()</f>
        <v>#N/A</v>
      </c>
      <c r="ME4" s="20">
        <v>45580</v>
      </c>
      <c r="MF4">
        <v>228</v>
      </c>
      <c r="MG4">
        <v>114</v>
      </c>
      <c r="MH4">
        <v>353</v>
      </c>
      <c r="MI4">
        <v>114</v>
      </c>
      <c r="MJ4">
        <v>239</v>
      </c>
      <c r="MK4">
        <v>228</v>
      </c>
      <c r="ML4" t="e">
        <f>NA()</f>
        <v>#N/A</v>
      </c>
      <c r="MN4" s="20">
        <v>45580</v>
      </c>
      <c r="MO4">
        <v>15</v>
      </c>
      <c r="MP4">
        <v>0</v>
      </c>
      <c r="MQ4">
        <v>38</v>
      </c>
      <c r="MR4">
        <v>0</v>
      </c>
      <c r="MS4">
        <v>38</v>
      </c>
      <c r="MT4">
        <v>15</v>
      </c>
      <c r="MU4" t="e">
        <f>NA()</f>
        <v>#N/A</v>
      </c>
      <c r="MW4" s="20">
        <v>44548</v>
      </c>
      <c r="MX4">
        <v>32</v>
      </c>
      <c r="MY4">
        <v>0</v>
      </c>
      <c r="MZ4">
        <v>40</v>
      </c>
      <c r="NA4">
        <v>0</v>
      </c>
      <c r="NB4">
        <v>40</v>
      </c>
      <c r="NC4">
        <v>32</v>
      </c>
      <c r="ND4" t="e">
        <f>NA()</f>
        <v>#N/A</v>
      </c>
      <c r="NF4" s="20">
        <v>44548</v>
      </c>
      <c r="NG4">
        <v>17</v>
      </c>
      <c r="NH4">
        <v>0</v>
      </c>
      <c r="NI4">
        <v>41</v>
      </c>
      <c r="NJ4">
        <v>0</v>
      </c>
      <c r="NK4">
        <v>41</v>
      </c>
      <c r="NL4">
        <v>17</v>
      </c>
      <c r="NM4" t="e">
        <f>NA()</f>
        <v>#N/A</v>
      </c>
    </row>
    <row r="5" spans="1:377" x14ac:dyDescent="0.25">
      <c r="A5" s="20">
        <v>45580</v>
      </c>
      <c r="B5">
        <v>39</v>
      </c>
      <c r="C5">
        <v>22</v>
      </c>
      <c r="D5">
        <v>208</v>
      </c>
      <c r="E5">
        <v>22</v>
      </c>
      <c r="F5">
        <v>186</v>
      </c>
      <c r="G5">
        <v>39</v>
      </c>
      <c r="H5" t="e">
        <f>NA()</f>
        <v>#N/A</v>
      </c>
      <c r="J5" s="20">
        <v>45580</v>
      </c>
      <c r="K5">
        <v>2</v>
      </c>
      <c r="AB5" t="s">
        <v>156</v>
      </c>
      <c r="AC5">
        <v>1.06</v>
      </c>
      <c r="AK5" t="s">
        <v>156</v>
      </c>
      <c r="AL5">
        <v>112</v>
      </c>
      <c r="AT5" t="s">
        <v>156</v>
      </c>
      <c r="AU5">
        <v>15.6</v>
      </c>
      <c r="BC5" s="20">
        <v>46232</v>
      </c>
      <c r="BD5">
        <v>73</v>
      </c>
      <c r="BE5">
        <v>50</v>
      </c>
      <c r="BL5" s="20">
        <v>45580</v>
      </c>
      <c r="BM5">
        <v>2.36</v>
      </c>
      <c r="BN5">
        <v>0.7</v>
      </c>
      <c r="BO5">
        <v>6.55</v>
      </c>
      <c r="BP5">
        <v>0.7</v>
      </c>
      <c r="BQ5">
        <v>5.85</v>
      </c>
      <c r="BR5">
        <v>2.36</v>
      </c>
      <c r="BS5" t="e">
        <f>NA()</f>
        <v>#N/A</v>
      </c>
      <c r="BU5" s="20">
        <v>45580</v>
      </c>
      <c r="BV5">
        <v>1.1499999999999999</v>
      </c>
      <c r="BW5">
        <v>0.85</v>
      </c>
      <c r="BX5">
        <v>1.67</v>
      </c>
      <c r="BY5">
        <v>0.85</v>
      </c>
      <c r="BZ5">
        <v>0.82</v>
      </c>
      <c r="CA5">
        <v>1.1499999999999999</v>
      </c>
      <c r="CB5" t="e">
        <f>NA()</f>
        <v>#N/A</v>
      </c>
      <c r="CD5" s="20">
        <v>44537</v>
      </c>
      <c r="CE5">
        <v>13.9</v>
      </c>
      <c r="CF5">
        <v>10.5</v>
      </c>
      <c r="CG5">
        <v>14</v>
      </c>
      <c r="CH5">
        <v>10.5</v>
      </c>
      <c r="CI5">
        <v>3.5</v>
      </c>
      <c r="CJ5">
        <v>13.9</v>
      </c>
      <c r="CK5" t="e">
        <f>NA()</f>
        <v>#N/A</v>
      </c>
      <c r="CM5" s="20">
        <v>44537</v>
      </c>
      <c r="CN5">
        <v>5.07</v>
      </c>
      <c r="CO5">
        <v>3.7</v>
      </c>
      <c r="CP5">
        <v>5.2</v>
      </c>
      <c r="CQ5">
        <v>3.7</v>
      </c>
      <c r="CR5">
        <v>1.5</v>
      </c>
      <c r="CS5">
        <v>5.07</v>
      </c>
      <c r="CT5" t="e">
        <f>NA()</f>
        <v>#N/A</v>
      </c>
      <c r="CV5" s="20">
        <v>44537</v>
      </c>
      <c r="CW5">
        <v>41</v>
      </c>
      <c r="CX5">
        <v>33</v>
      </c>
      <c r="CY5">
        <v>42</v>
      </c>
      <c r="CZ5">
        <v>33</v>
      </c>
      <c r="DA5">
        <v>9</v>
      </c>
      <c r="DB5">
        <v>41</v>
      </c>
      <c r="DC5" t="e">
        <f>NA()</f>
        <v>#N/A</v>
      </c>
      <c r="DE5" s="20">
        <v>44537</v>
      </c>
      <c r="DF5">
        <v>80.900000000000006</v>
      </c>
      <c r="DG5">
        <v>75</v>
      </c>
      <c r="DH5">
        <v>88</v>
      </c>
      <c r="DI5">
        <v>75</v>
      </c>
      <c r="DJ5">
        <v>13</v>
      </c>
      <c r="DK5">
        <v>80.900000000000006</v>
      </c>
      <c r="DL5" t="e">
        <f>NA()</f>
        <v>#N/A</v>
      </c>
      <c r="DN5" s="20">
        <v>44537</v>
      </c>
      <c r="DO5">
        <v>27.4</v>
      </c>
      <c r="DP5">
        <v>26</v>
      </c>
      <c r="DQ5">
        <v>33</v>
      </c>
      <c r="DR5">
        <v>26</v>
      </c>
      <c r="DS5">
        <v>7</v>
      </c>
      <c r="DT5">
        <v>27.4</v>
      </c>
      <c r="DU5" t="e">
        <f>NA()</f>
        <v>#N/A</v>
      </c>
      <c r="DW5" s="20">
        <v>44537</v>
      </c>
      <c r="DX5">
        <v>33.9</v>
      </c>
      <c r="DY5">
        <v>31</v>
      </c>
      <c r="DZ5">
        <v>36</v>
      </c>
      <c r="EA5">
        <v>31</v>
      </c>
      <c r="EB5">
        <v>5</v>
      </c>
      <c r="EC5">
        <v>33.9</v>
      </c>
      <c r="ED5" t="e">
        <f>NA()</f>
        <v>#N/A</v>
      </c>
      <c r="EF5" s="20">
        <v>44537</v>
      </c>
      <c r="EG5">
        <v>13.5</v>
      </c>
      <c r="EH5">
        <v>11.3</v>
      </c>
      <c r="EI5">
        <v>15.3</v>
      </c>
      <c r="EJ5">
        <v>11.3</v>
      </c>
      <c r="EK5">
        <v>4</v>
      </c>
      <c r="EL5">
        <v>13.5</v>
      </c>
      <c r="EM5" t="e">
        <f>NA()</f>
        <v>#N/A</v>
      </c>
      <c r="EO5" s="20">
        <v>44537</v>
      </c>
      <c r="EP5">
        <v>7420</v>
      </c>
      <c r="EQ5">
        <v>6000</v>
      </c>
      <c r="ER5">
        <v>11000</v>
      </c>
      <c r="ES5">
        <v>6000</v>
      </c>
      <c r="ET5">
        <v>5000</v>
      </c>
      <c r="EU5">
        <v>7420</v>
      </c>
      <c r="EV5" t="e">
        <f>NA()</f>
        <v>#N/A</v>
      </c>
      <c r="EX5" s="20">
        <v>44537</v>
      </c>
      <c r="EY5">
        <v>1484</v>
      </c>
      <c r="EZ5">
        <v>1500</v>
      </c>
      <c r="FA5">
        <v>8500</v>
      </c>
      <c r="FB5">
        <v>1500</v>
      </c>
      <c r="FC5">
        <v>7000</v>
      </c>
      <c r="FD5" t="e">
        <f>NA()</f>
        <v>#N/A</v>
      </c>
      <c r="FE5">
        <v>1484</v>
      </c>
      <c r="FG5" s="20">
        <v>44537</v>
      </c>
      <c r="FH5">
        <v>5194</v>
      </c>
      <c r="FI5">
        <v>1500</v>
      </c>
      <c r="FJ5">
        <v>7000</v>
      </c>
      <c r="FK5">
        <v>1500</v>
      </c>
      <c r="FL5">
        <v>5500</v>
      </c>
      <c r="FM5">
        <v>5194</v>
      </c>
      <c r="FN5" t="e">
        <f>NA()</f>
        <v>#N/A</v>
      </c>
      <c r="FP5" s="20">
        <v>44537</v>
      </c>
      <c r="FQ5">
        <v>668</v>
      </c>
      <c r="FR5">
        <v>80</v>
      </c>
      <c r="FS5">
        <v>800</v>
      </c>
      <c r="FT5">
        <v>80</v>
      </c>
      <c r="FU5">
        <v>720</v>
      </c>
      <c r="FV5">
        <v>668</v>
      </c>
      <c r="FW5" t="e">
        <f>NA()</f>
        <v>#N/A</v>
      </c>
      <c r="FY5" s="20">
        <v>44537</v>
      </c>
      <c r="FZ5">
        <v>74</v>
      </c>
      <c r="GA5">
        <v>40</v>
      </c>
      <c r="GB5">
        <v>650</v>
      </c>
      <c r="GC5">
        <v>40</v>
      </c>
      <c r="GD5">
        <v>610</v>
      </c>
      <c r="GE5">
        <v>74</v>
      </c>
      <c r="GF5" t="e">
        <f>NA()</f>
        <v>#N/A</v>
      </c>
      <c r="GH5" s="20">
        <v>45866</v>
      </c>
      <c r="GI5">
        <v>70</v>
      </c>
      <c r="GJ5">
        <v>0</v>
      </c>
      <c r="GK5">
        <v>200</v>
      </c>
      <c r="GL5">
        <v>0</v>
      </c>
      <c r="GM5">
        <v>200</v>
      </c>
      <c r="GN5">
        <v>70</v>
      </c>
      <c r="GO5" t="e">
        <f>NA()</f>
        <v>#N/A</v>
      </c>
      <c r="GQ5" s="20">
        <v>44537</v>
      </c>
      <c r="GR5">
        <v>231000</v>
      </c>
      <c r="GS5">
        <v>150000</v>
      </c>
      <c r="GT5">
        <v>450000</v>
      </c>
      <c r="GU5">
        <v>150000</v>
      </c>
      <c r="GV5">
        <v>300000</v>
      </c>
      <c r="GW5">
        <v>231000</v>
      </c>
      <c r="GX5" t="e">
        <f>NA()</f>
        <v>#N/A</v>
      </c>
      <c r="GZ5" s="20">
        <v>46232</v>
      </c>
      <c r="HA5">
        <v>4</v>
      </c>
      <c r="HB5">
        <v>0</v>
      </c>
      <c r="HC5">
        <v>10</v>
      </c>
      <c r="HD5">
        <v>0</v>
      </c>
      <c r="HE5">
        <v>10</v>
      </c>
      <c r="HF5">
        <v>4</v>
      </c>
      <c r="HG5" t="e">
        <f>NA()</f>
        <v>#N/A</v>
      </c>
      <c r="HI5" s="20">
        <v>46056</v>
      </c>
      <c r="HJ5">
        <v>19.5</v>
      </c>
      <c r="HK5">
        <v>7</v>
      </c>
      <c r="HL5">
        <v>140</v>
      </c>
      <c r="HM5">
        <v>7</v>
      </c>
      <c r="HN5">
        <v>133</v>
      </c>
      <c r="HO5">
        <v>19.5</v>
      </c>
      <c r="HP5" t="e">
        <f>NA()</f>
        <v>#N/A</v>
      </c>
      <c r="HR5" s="20">
        <v>46246</v>
      </c>
      <c r="HS5">
        <v>123</v>
      </c>
      <c r="HT5">
        <v>50</v>
      </c>
      <c r="HU5">
        <v>120</v>
      </c>
      <c r="HV5">
        <v>50</v>
      </c>
      <c r="HW5">
        <v>70</v>
      </c>
      <c r="HX5" t="e">
        <f>NA()</f>
        <v>#N/A</v>
      </c>
      <c r="HY5">
        <v>123</v>
      </c>
      <c r="IS5" s="20">
        <v>46246</v>
      </c>
      <c r="IT5">
        <v>28.2</v>
      </c>
      <c r="IU5">
        <v>20</v>
      </c>
      <c r="IV5">
        <v>60</v>
      </c>
      <c r="IW5">
        <v>20</v>
      </c>
      <c r="IX5">
        <v>40</v>
      </c>
      <c r="IY5">
        <v>28.2</v>
      </c>
      <c r="IZ5" t="e">
        <f>NA()</f>
        <v>#N/A</v>
      </c>
      <c r="JB5" s="20">
        <v>44623</v>
      </c>
      <c r="JC5">
        <v>97</v>
      </c>
      <c r="JD5">
        <v>60</v>
      </c>
      <c r="JE5">
        <v>99</v>
      </c>
      <c r="JF5">
        <v>60</v>
      </c>
      <c r="JG5">
        <v>39</v>
      </c>
      <c r="JH5">
        <v>97</v>
      </c>
      <c r="JI5" t="e">
        <f>NA()</f>
        <v>#N/A</v>
      </c>
      <c r="JK5" s="20">
        <v>44537</v>
      </c>
      <c r="JL5">
        <v>138</v>
      </c>
      <c r="JM5">
        <v>136</v>
      </c>
      <c r="JN5">
        <v>145</v>
      </c>
      <c r="JO5">
        <v>136</v>
      </c>
      <c r="JP5">
        <v>9</v>
      </c>
      <c r="JQ5">
        <v>138</v>
      </c>
      <c r="JR5" t="e">
        <f>NA()</f>
        <v>#N/A</v>
      </c>
      <c r="JT5" s="20">
        <v>44537</v>
      </c>
      <c r="JU5">
        <v>5.0999999999999996</v>
      </c>
      <c r="JV5">
        <v>3.5</v>
      </c>
      <c r="JW5">
        <v>5.0999999999999996</v>
      </c>
      <c r="JX5">
        <v>3.5</v>
      </c>
      <c r="JY5">
        <v>1.6</v>
      </c>
      <c r="JZ5">
        <v>5.0999999999999996</v>
      </c>
      <c r="KA5" t="e">
        <f>NA()</f>
        <v>#N/A</v>
      </c>
      <c r="KL5" s="20">
        <v>45580</v>
      </c>
      <c r="KM5">
        <v>9.5</v>
      </c>
      <c r="KN5">
        <v>5.3</v>
      </c>
      <c r="KO5">
        <v>22.5</v>
      </c>
      <c r="KP5">
        <v>5.3</v>
      </c>
      <c r="KQ5">
        <v>17.2</v>
      </c>
      <c r="KR5">
        <v>9.5</v>
      </c>
      <c r="KS5" t="e">
        <f>NA()</f>
        <v>#N/A</v>
      </c>
      <c r="KU5" s="20">
        <v>45580</v>
      </c>
      <c r="KV5">
        <v>0.22</v>
      </c>
      <c r="KW5">
        <v>0.18</v>
      </c>
      <c r="KX5">
        <v>0.49</v>
      </c>
      <c r="KY5">
        <v>0.18</v>
      </c>
      <c r="KZ5">
        <v>0.31</v>
      </c>
      <c r="LA5">
        <v>0.22</v>
      </c>
      <c r="LB5" t="e">
        <f>NA()</f>
        <v>#N/A</v>
      </c>
      <c r="MW5" s="20">
        <v>45580</v>
      </c>
      <c r="MX5">
        <v>22</v>
      </c>
      <c r="MY5">
        <v>0</v>
      </c>
      <c r="MZ5">
        <v>40</v>
      </c>
      <c r="NA5">
        <v>0</v>
      </c>
      <c r="NB5">
        <v>40</v>
      </c>
      <c r="NC5">
        <v>22</v>
      </c>
      <c r="ND5" t="e">
        <f>NA()</f>
        <v>#N/A</v>
      </c>
      <c r="NF5" s="20">
        <v>45580</v>
      </c>
      <c r="NG5">
        <v>15</v>
      </c>
      <c r="NH5">
        <v>0</v>
      </c>
      <c r="NI5">
        <v>41</v>
      </c>
      <c r="NJ5">
        <v>0</v>
      </c>
      <c r="NK5">
        <v>41</v>
      </c>
      <c r="NL5">
        <v>15</v>
      </c>
      <c r="NM5" t="e">
        <f>NA()</f>
        <v>#N/A</v>
      </c>
    </row>
    <row r="6" spans="1:377" x14ac:dyDescent="0.25">
      <c r="A6" s="20">
        <v>45866</v>
      </c>
      <c r="B6">
        <v>122</v>
      </c>
      <c r="C6">
        <v>22</v>
      </c>
      <c r="D6">
        <v>208</v>
      </c>
      <c r="E6">
        <v>22</v>
      </c>
      <c r="F6">
        <v>186</v>
      </c>
      <c r="G6">
        <v>122</v>
      </c>
      <c r="H6" t="e">
        <f>NA()</f>
        <v>#N/A</v>
      </c>
      <c r="J6" s="20">
        <v>45866</v>
      </c>
      <c r="K6">
        <v>3.6</v>
      </c>
      <c r="AB6" t="s">
        <v>157</v>
      </c>
      <c r="AC6">
        <v>3.07</v>
      </c>
      <c r="AK6" t="s">
        <v>157</v>
      </c>
      <c r="AL6">
        <v>73</v>
      </c>
      <c r="AT6" t="s">
        <v>157</v>
      </c>
      <c r="AU6">
        <v>29</v>
      </c>
      <c r="BL6" s="20">
        <v>45866</v>
      </c>
      <c r="BM6">
        <v>1.92</v>
      </c>
      <c r="BN6">
        <v>0.7</v>
      </c>
      <c r="BO6">
        <v>6.55</v>
      </c>
      <c r="BP6">
        <v>0.7</v>
      </c>
      <c r="BQ6">
        <v>5.85</v>
      </c>
      <c r="BR6">
        <v>1.92</v>
      </c>
      <c r="BS6" t="e">
        <f>NA()</f>
        <v>#N/A</v>
      </c>
      <c r="BU6" s="20">
        <v>45866</v>
      </c>
      <c r="BV6">
        <v>1.2</v>
      </c>
      <c r="BW6">
        <v>0.85</v>
      </c>
      <c r="BX6">
        <v>1.67</v>
      </c>
      <c r="BY6">
        <v>0.85</v>
      </c>
      <c r="BZ6">
        <v>0.82</v>
      </c>
      <c r="CA6">
        <v>1.2</v>
      </c>
      <c r="CB6" t="e">
        <f>NA()</f>
        <v>#N/A</v>
      </c>
      <c r="CD6" s="20">
        <v>44601</v>
      </c>
      <c r="CE6">
        <v>12.7</v>
      </c>
      <c r="CF6">
        <v>10.5</v>
      </c>
      <c r="CG6">
        <v>13.5</v>
      </c>
      <c r="CH6">
        <v>10.5</v>
      </c>
      <c r="CI6">
        <v>3</v>
      </c>
      <c r="CJ6">
        <v>12.7</v>
      </c>
      <c r="CK6" t="e">
        <f>NA()</f>
        <v>#N/A</v>
      </c>
      <c r="CM6" s="20">
        <v>44601</v>
      </c>
      <c r="CN6">
        <v>4.5199999999999996</v>
      </c>
      <c r="CO6">
        <v>3.8</v>
      </c>
      <c r="CP6">
        <v>5</v>
      </c>
      <c r="CQ6">
        <v>3.8</v>
      </c>
      <c r="CR6">
        <v>1.2</v>
      </c>
      <c r="CS6">
        <v>4.5199999999999996</v>
      </c>
      <c r="CT6" t="e">
        <f>NA()</f>
        <v>#N/A</v>
      </c>
      <c r="CV6" s="20">
        <v>44601</v>
      </c>
      <c r="CW6">
        <v>36.700000000000003</v>
      </c>
      <c r="CX6">
        <v>24</v>
      </c>
      <c r="CY6">
        <v>44</v>
      </c>
      <c r="CZ6">
        <v>24</v>
      </c>
      <c r="DA6">
        <v>20</v>
      </c>
      <c r="DB6">
        <v>36.700000000000003</v>
      </c>
      <c r="DC6" t="e">
        <f>NA()</f>
        <v>#N/A</v>
      </c>
      <c r="DE6" s="20">
        <v>44601</v>
      </c>
      <c r="DF6">
        <v>81</v>
      </c>
      <c r="DG6">
        <v>78</v>
      </c>
      <c r="DH6">
        <v>92</v>
      </c>
      <c r="DI6">
        <v>78</v>
      </c>
      <c r="DJ6">
        <v>14</v>
      </c>
      <c r="DK6">
        <v>81</v>
      </c>
      <c r="DL6" t="e">
        <f>NA()</f>
        <v>#N/A</v>
      </c>
      <c r="DN6" s="20">
        <v>44601</v>
      </c>
      <c r="DO6">
        <v>28</v>
      </c>
      <c r="DP6">
        <v>26</v>
      </c>
      <c r="DQ6">
        <v>31</v>
      </c>
      <c r="DR6">
        <v>26</v>
      </c>
      <c r="DS6">
        <v>5</v>
      </c>
      <c r="DT6">
        <v>28</v>
      </c>
      <c r="DU6" t="e">
        <f>NA()</f>
        <v>#N/A</v>
      </c>
      <c r="DW6" s="20">
        <v>44601</v>
      </c>
      <c r="DX6">
        <v>35</v>
      </c>
      <c r="DY6">
        <v>31</v>
      </c>
      <c r="DZ6">
        <v>34</v>
      </c>
      <c r="EA6">
        <v>31</v>
      </c>
      <c r="EB6">
        <v>3</v>
      </c>
      <c r="EC6" t="e">
        <f>NA()</f>
        <v>#N/A</v>
      </c>
      <c r="ED6">
        <v>35</v>
      </c>
      <c r="EF6" s="20">
        <v>44601</v>
      </c>
      <c r="EG6">
        <v>12.4</v>
      </c>
      <c r="EH6">
        <v>11.3</v>
      </c>
      <c r="EI6">
        <v>15</v>
      </c>
      <c r="EJ6">
        <v>11.3</v>
      </c>
      <c r="EK6">
        <v>3.6999999999999988</v>
      </c>
      <c r="EL6">
        <v>12.4</v>
      </c>
      <c r="EM6" t="e">
        <f>NA()</f>
        <v>#N/A</v>
      </c>
      <c r="EO6" s="20">
        <v>44601</v>
      </c>
      <c r="EP6">
        <v>9400</v>
      </c>
      <c r="EQ6">
        <v>6000</v>
      </c>
      <c r="ER6">
        <v>17500</v>
      </c>
      <c r="ES6">
        <v>6000</v>
      </c>
      <c r="ET6">
        <v>11500</v>
      </c>
      <c r="EU6">
        <v>9400</v>
      </c>
      <c r="EV6" t="e">
        <f>NA()</f>
        <v>#N/A</v>
      </c>
      <c r="EX6" s="20">
        <v>44601</v>
      </c>
      <c r="EY6">
        <v>4774</v>
      </c>
      <c r="EZ6">
        <v>2000</v>
      </c>
      <c r="FA6">
        <v>5000</v>
      </c>
      <c r="FB6">
        <v>2000</v>
      </c>
      <c r="FC6">
        <v>3000</v>
      </c>
      <c r="FD6">
        <v>4774</v>
      </c>
      <c r="FE6" t="e">
        <f>NA()</f>
        <v>#N/A</v>
      </c>
      <c r="FG6" s="20">
        <v>44601</v>
      </c>
      <c r="FH6">
        <v>3557</v>
      </c>
      <c r="FI6">
        <v>5500</v>
      </c>
      <c r="FJ6">
        <v>9000</v>
      </c>
      <c r="FK6">
        <v>5500</v>
      </c>
      <c r="FL6">
        <v>3500</v>
      </c>
      <c r="FM6" t="e">
        <f>NA()</f>
        <v>#N/A</v>
      </c>
      <c r="FN6">
        <v>3557</v>
      </c>
      <c r="FP6" s="20">
        <v>44601</v>
      </c>
      <c r="FQ6">
        <v>936</v>
      </c>
      <c r="FR6">
        <v>200</v>
      </c>
      <c r="FS6">
        <v>1300</v>
      </c>
      <c r="FT6">
        <v>200</v>
      </c>
      <c r="FU6">
        <v>1100</v>
      </c>
      <c r="FV6">
        <v>936</v>
      </c>
      <c r="FW6" t="e">
        <f>NA()</f>
        <v>#N/A</v>
      </c>
      <c r="FY6" s="20">
        <v>44601</v>
      </c>
      <c r="FZ6">
        <v>94</v>
      </c>
      <c r="GA6">
        <v>70</v>
      </c>
      <c r="GB6">
        <v>650</v>
      </c>
      <c r="GC6">
        <v>70</v>
      </c>
      <c r="GD6">
        <v>580</v>
      </c>
      <c r="GE6">
        <v>94</v>
      </c>
      <c r="GF6" t="e">
        <f>NA()</f>
        <v>#N/A</v>
      </c>
      <c r="GH6" s="20">
        <v>46056</v>
      </c>
      <c r="GI6">
        <v>30</v>
      </c>
      <c r="GJ6">
        <v>0</v>
      </c>
      <c r="GK6">
        <v>200</v>
      </c>
      <c r="GL6">
        <v>0</v>
      </c>
      <c r="GM6">
        <v>200</v>
      </c>
      <c r="GN6">
        <v>30</v>
      </c>
      <c r="GO6" t="e">
        <f>NA()</f>
        <v>#N/A</v>
      </c>
      <c r="GQ6" s="20">
        <v>44601</v>
      </c>
      <c r="GR6">
        <v>303000</v>
      </c>
      <c r="GS6">
        <v>200000</v>
      </c>
      <c r="GT6">
        <v>500000</v>
      </c>
      <c r="GU6">
        <v>200000</v>
      </c>
      <c r="GV6">
        <v>300000</v>
      </c>
      <c r="GW6">
        <v>303000</v>
      </c>
      <c r="GX6" t="e">
        <f>NA()</f>
        <v>#N/A</v>
      </c>
      <c r="HI6" s="20">
        <v>46246</v>
      </c>
      <c r="HJ6">
        <v>44.1</v>
      </c>
      <c r="HK6">
        <v>7</v>
      </c>
      <c r="HL6">
        <v>140</v>
      </c>
      <c r="HM6">
        <v>7</v>
      </c>
      <c r="HN6">
        <v>133</v>
      </c>
      <c r="HO6">
        <v>44.1</v>
      </c>
      <c r="HP6" t="e">
        <f>NA()</f>
        <v>#N/A</v>
      </c>
      <c r="JB6" s="20">
        <v>45580</v>
      </c>
      <c r="JC6">
        <v>87</v>
      </c>
      <c r="JD6">
        <v>60</v>
      </c>
      <c r="JE6">
        <v>99</v>
      </c>
      <c r="JF6">
        <v>60</v>
      </c>
      <c r="JG6">
        <v>39</v>
      </c>
      <c r="JH6">
        <v>87</v>
      </c>
      <c r="JI6" t="e">
        <f>NA()</f>
        <v>#N/A</v>
      </c>
      <c r="JK6" s="20">
        <v>44623</v>
      </c>
      <c r="JL6">
        <v>134</v>
      </c>
      <c r="JM6">
        <v>136</v>
      </c>
      <c r="JN6">
        <v>145</v>
      </c>
      <c r="JO6">
        <v>136</v>
      </c>
      <c r="JP6">
        <v>9</v>
      </c>
      <c r="JQ6" t="e">
        <f>NA()</f>
        <v>#N/A</v>
      </c>
      <c r="JR6">
        <v>134</v>
      </c>
      <c r="JT6" s="20">
        <v>44623</v>
      </c>
      <c r="JU6">
        <v>3.8</v>
      </c>
      <c r="JV6">
        <v>3.5</v>
      </c>
      <c r="JW6">
        <v>5.0999999999999996</v>
      </c>
      <c r="JX6">
        <v>3.5</v>
      </c>
      <c r="JY6">
        <v>1.6</v>
      </c>
      <c r="JZ6">
        <v>3.8</v>
      </c>
      <c r="KA6" t="e">
        <f>NA()</f>
        <v>#N/A</v>
      </c>
      <c r="KU6" s="20">
        <v>46246</v>
      </c>
      <c r="KV6">
        <v>0.28000000000000003</v>
      </c>
      <c r="KW6">
        <v>0.3</v>
      </c>
      <c r="KX6">
        <v>0.61</v>
      </c>
      <c r="KY6">
        <v>0.3</v>
      </c>
      <c r="KZ6">
        <v>0.31</v>
      </c>
      <c r="LA6" t="e">
        <f>NA()</f>
        <v>#N/A</v>
      </c>
      <c r="LB6">
        <v>0.28000000000000003</v>
      </c>
      <c r="MW6" s="20">
        <v>45866</v>
      </c>
      <c r="MX6">
        <v>29</v>
      </c>
      <c r="MY6">
        <v>0</v>
      </c>
      <c r="MZ6">
        <v>40</v>
      </c>
      <c r="NA6">
        <v>0</v>
      </c>
      <c r="NB6">
        <v>40</v>
      </c>
      <c r="NC6">
        <v>29</v>
      </c>
      <c r="ND6" t="e">
        <f>NA()</f>
        <v>#N/A</v>
      </c>
      <c r="NF6" s="20">
        <v>45866</v>
      </c>
      <c r="NG6">
        <v>20</v>
      </c>
      <c r="NH6">
        <v>0</v>
      </c>
      <c r="NI6">
        <v>41</v>
      </c>
      <c r="NJ6">
        <v>0</v>
      </c>
      <c r="NK6">
        <v>41</v>
      </c>
      <c r="NL6">
        <v>20</v>
      </c>
      <c r="NM6" t="e">
        <f>NA()</f>
        <v>#N/A</v>
      </c>
    </row>
    <row r="7" spans="1:377" x14ac:dyDescent="0.25">
      <c r="A7" s="20">
        <v>46056</v>
      </c>
      <c r="B7">
        <v>68</v>
      </c>
      <c r="C7">
        <v>22</v>
      </c>
      <c r="D7">
        <v>208</v>
      </c>
      <c r="E7">
        <v>22</v>
      </c>
      <c r="F7">
        <v>186</v>
      </c>
      <c r="G7">
        <v>68</v>
      </c>
      <c r="H7" t="e">
        <f>NA()</f>
        <v>#N/A</v>
      </c>
      <c r="J7" s="20">
        <v>46246</v>
      </c>
      <c r="K7">
        <v>3.3</v>
      </c>
      <c r="AB7" t="s">
        <v>159</v>
      </c>
      <c r="AC7">
        <v>0.97</v>
      </c>
      <c r="AK7" t="s">
        <v>159</v>
      </c>
      <c r="AL7">
        <v>70</v>
      </c>
      <c r="AT7" t="s">
        <v>159</v>
      </c>
      <c r="AU7">
        <v>22.2</v>
      </c>
      <c r="BL7" s="20">
        <v>46056</v>
      </c>
      <c r="BM7">
        <v>1.42</v>
      </c>
      <c r="BN7">
        <v>0.7</v>
      </c>
      <c r="BO7">
        <v>6.55</v>
      </c>
      <c r="BP7">
        <v>0.7</v>
      </c>
      <c r="BQ7">
        <v>5.85</v>
      </c>
      <c r="BR7">
        <v>1.42</v>
      </c>
      <c r="BS7" t="e">
        <f>NA()</f>
        <v>#N/A</v>
      </c>
      <c r="BU7" s="20">
        <v>46056</v>
      </c>
      <c r="BV7">
        <v>1.29</v>
      </c>
      <c r="BW7">
        <v>0.85</v>
      </c>
      <c r="BX7">
        <v>1.67</v>
      </c>
      <c r="BY7">
        <v>0.85</v>
      </c>
      <c r="BZ7">
        <v>0.82</v>
      </c>
      <c r="CA7">
        <v>1.29</v>
      </c>
      <c r="CB7" t="e">
        <f>NA()</f>
        <v>#N/A</v>
      </c>
      <c r="CD7" s="20">
        <v>44621</v>
      </c>
      <c r="CE7">
        <v>12.5</v>
      </c>
      <c r="CF7">
        <v>10.5</v>
      </c>
      <c r="CG7">
        <v>13.5</v>
      </c>
      <c r="CH7">
        <v>10.5</v>
      </c>
      <c r="CI7">
        <v>3</v>
      </c>
      <c r="CJ7">
        <v>12.5</v>
      </c>
      <c r="CK7" t="e">
        <f>NA()</f>
        <v>#N/A</v>
      </c>
      <c r="CM7" s="20">
        <v>44621</v>
      </c>
      <c r="CN7">
        <v>4.5</v>
      </c>
      <c r="CO7">
        <v>3.8</v>
      </c>
      <c r="CP7">
        <v>5</v>
      </c>
      <c r="CQ7">
        <v>3.8</v>
      </c>
      <c r="CR7">
        <v>1.2</v>
      </c>
      <c r="CS7">
        <v>4.5</v>
      </c>
      <c r="CT7" t="e">
        <f>NA()</f>
        <v>#N/A</v>
      </c>
      <c r="CV7" s="20">
        <v>44621</v>
      </c>
      <c r="CW7">
        <v>35.9</v>
      </c>
      <c r="CX7">
        <v>24</v>
      </c>
      <c r="CY7">
        <v>44</v>
      </c>
      <c r="CZ7">
        <v>24</v>
      </c>
      <c r="DA7">
        <v>20</v>
      </c>
      <c r="DB7">
        <v>35.9</v>
      </c>
      <c r="DC7" t="e">
        <f>NA()</f>
        <v>#N/A</v>
      </c>
      <c r="DE7" s="20">
        <v>44621</v>
      </c>
      <c r="DF7">
        <v>80</v>
      </c>
      <c r="DG7">
        <v>78</v>
      </c>
      <c r="DH7">
        <v>92</v>
      </c>
      <c r="DI7">
        <v>78</v>
      </c>
      <c r="DJ7">
        <v>14</v>
      </c>
      <c r="DK7">
        <v>80</v>
      </c>
      <c r="DL7" t="e">
        <f>NA()</f>
        <v>#N/A</v>
      </c>
      <c r="DN7" s="20">
        <v>44621</v>
      </c>
      <c r="DO7">
        <v>28</v>
      </c>
      <c r="DP7">
        <v>26</v>
      </c>
      <c r="DQ7">
        <v>31</v>
      </c>
      <c r="DR7">
        <v>26</v>
      </c>
      <c r="DS7">
        <v>5</v>
      </c>
      <c r="DT7">
        <v>28</v>
      </c>
      <c r="DU7" t="e">
        <f>NA()</f>
        <v>#N/A</v>
      </c>
      <c r="DW7" s="20">
        <v>44621</v>
      </c>
      <c r="DX7">
        <v>35</v>
      </c>
      <c r="DY7">
        <v>31</v>
      </c>
      <c r="DZ7">
        <v>34</v>
      </c>
      <c r="EA7">
        <v>31</v>
      </c>
      <c r="EB7">
        <v>3</v>
      </c>
      <c r="EC7" t="e">
        <f>NA()</f>
        <v>#N/A</v>
      </c>
      <c r="ED7">
        <v>35</v>
      </c>
      <c r="EF7" s="20">
        <v>44621</v>
      </c>
      <c r="EG7">
        <v>12.1</v>
      </c>
      <c r="EH7">
        <v>11.3</v>
      </c>
      <c r="EI7">
        <v>15</v>
      </c>
      <c r="EJ7">
        <v>11.3</v>
      </c>
      <c r="EK7">
        <v>3.6999999999999988</v>
      </c>
      <c r="EL7">
        <v>12.1</v>
      </c>
      <c r="EM7" t="e">
        <f>NA()</f>
        <v>#N/A</v>
      </c>
      <c r="EO7" s="20">
        <v>44621</v>
      </c>
      <c r="EP7">
        <v>7100</v>
      </c>
      <c r="EQ7">
        <v>6000</v>
      </c>
      <c r="ER7">
        <v>17500</v>
      </c>
      <c r="ES7">
        <v>6000</v>
      </c>
      <c r="ET7">
        <v>11500</v>
      </c>
      <c r="EU7">
        <v>7100</v>
      </c>
      <c r="EV7" t="e">
        <f>NA()</f>
        <v>#N/A</v>
      </c>
      <c r="EX7" s="20">
        <v>44621</v>
      </c>
      <c r="EY7">
        <v>2785</v>
      </c>
      <c r="EZ7">
        <v>2000</v>
      </c>
      <c r="FA7">
        <v>5000</v>
      </c>
      <c r="FB7">
        <v>2000</v>
      </c>
      <c r="FC7">
        <v>3000</v>
      </c>
      <c r="FD7">
        <v>2785</v>
      </c>
      <c r="FE7" t="e">
        <f>NA()</f>
        <v>#N/A</v>
      </c>
      <c r="FG7" s="20">
        <v>44621</v>
      </c>
      <c r="FH7">
        <v>3856</v>
      </c>
      <c r="FI7">
        <v>5500</v>
      </c>
      <c r="FJ7">
        <v>9000</v>
      </c>
      <c r="FK7">
        <v>5500</v>
      </c>
      <c r="FL7">
        <v>3500</v>
      </c>
      <c r="FM7" t="e">
        <f>NA()</f>
        <v>#N/A</v>
      </c>
      <c r="FN7">
        <v>3856</v>
      </c>
      <c r="FP7" s="20">
        <v>44621</v>
      </c>
      <c r="FQ7">
        <v>428</v>
      </c>
      <c r="FR7">
        <v>200</v>
      </c>
      <c r="FS7">
        <v>1300</v>
      </c>
      <c r="FT7">
        <v>200</v>
      </c>
      <c r="FU7">
        <v>1100</v>
      </c>
      <c r="FV7">
        <v>428</v>
      </c>
      <c r="FW7" t="e">
        <f>NA()</f>
        <v>#N/A</v>
      </c>
      <c r="FY7" s="20">
        <v>44621</v>
      </c>
      <c r="FZ7">
        <v>71</v>
      </c>
      <c r="GA7">
        <v>70</v>
      </c>
      <c r="GB7">
        <v>650</v>
      </c>
      <c r="GC7">
        <v>70</v>
      </c>
      <c r="GD7">
        <v>580</v>
      </c>
      <c r="GE7">
        <v>71</v>
      </c>
      <c r="GF7" t="e">
        <f>NA()</f>
        <v>#N/A</v>
      </c>
      <c r="GH7" s="20">
        <v>46232</v>
      </c>
      <c r="GI7">
        <v>10</v>
      </c>
      <c r="GJ7">
        <v>0</v>
      </c>
      <c r="GK7">
        <v>200</v>
      </c>
      <c r="GL7">
        <v>0</v>
      </c>
      <c r="GM7">
        <v>200</v>
      </c>
      <c r="GN7">
        <v>10</v>
      </c>
      <c r="GO7" t="e">
        <f>NA()</f>
        <v>#N/A</v>
      </c>
      <c r="GQ7" s="20">
        <v>44621</v>
      </c>
      <c r="GR7">
        <v>350000</v>
      </c>
      <c r="GS7">
        <v>200000</v>
      </c>
      <c r="GT7">
        <v>500000</v>
      </c>
      <c r="GU7">
        <v>200000</v>
      </c>
      <c r="GV7">
        <v>300000</v>
      </c>
      <c r="GW7">
        <v>350000</v>
      </c>
      <c r="GX7" t="e">
        <f>NA()</f>
        <v>#N/A</v>
      </c>
      <c r="JB7" s="20">
        <v>45866</v>
      </c>
      <c r="JC7">
        <v>77</v>
      </c>
      <c r="JD7">
        <v>60</v>
      </c>
      <c r="JE7">
        <v>99</v>
      </c>
      <c r="JF7">
        <v>60</v>
      </c>
      <c r="JG7">
        <v>39</v>
      </c>
      <c r="JH7">
        <v>77</v>
      </c>
      <c r="JI7" t="e">
        <f>NA()</f>
        <v>#N/A</v>
      </c>
      <c r="MW7" s="20">
        <v>46246</v>
      </c>
      <c r="MX7">
        <v>20</v>
      </c>
      <c r="MY7">
        <v>0</v>
      </c>
      <c r="MZ7">
        <v>33</v>
      </c>
      <c r="NA7">
        <v>0</v>
      </c>
      <c r="NB7">
        <v>33</v>
      </c>
      <c r="NC7">
        <v>20</v>
      </c>
      <c r="ND7" t="e">
        <f>NA()</f>
        <v>#N/A</v>
      </c>
      <c r="NF7" s="20">
        <v>46246</v>
      </c>
      <c r="NG7">
        <v>15</v>
      </c>
      <c r="NH7">
        <v>0</v>
      </c>
      <c r="NI7">
        <v>41</v>
      </c>
      <c r="NJ7">
        <v>0</v>
      </c>
      <c r="NK7">
        <v>41</v>
      </c>
      <c r="NL7">
        <v>15</v>
      </c>
      <c r="NM7" t="e">
        <f>NA()</f>
        <v>#N/A</v>
      </c>
    </row>
    <row r="8" spans="1:377" x14ac:dyDescent="0.25">
      <c r="A8" s="20">
        <v>46251</v>
      </c>
      <c r="B8">
        <v>173</v>
      </c>
      <c r="C8">
        <v>35</v>
      </c>
      <c r="D8">
        <v>232</v>
      </c>
      <c r="E8">
        <v>35</v>
      </c>
      <c r="F8">
        <v>197</v>
      </c>
      <c r="G8">
        <v>173</v>
      </c>
      <c r="H8" t="e">
        <f>NA()</f>
        <v>#N/A</v>
      </c>
      <c r="BL8" s="20">
        <v>46246</v>
      </c>
      <c r="BM8">
        <v>1.5</v>
      </c>
      <c r="BN8">
        <v>0.7</v>
      </c>
      <c r="BO8">
        <v>6.55</v>
      </c>
      <c r="BP8">
        <v>0.7</v>
      </c>
      <c r="BQ8">
        <v>5.85</v>
      </c>
      <c r="BR8">
        <v>1.5</v>
      </c>
      <c r="BS8" t="e">
        <f>NA()</f>
        <v>#N/A</v>
      </c>
      <c r="BU8" s="20">
        <v>46246</v>
      </c>
      <c r="BV8">
        <v>1.23</v>
      </c>
      <c r="BW8">
        <v>1.05</v>
      </c>
      <c r="BX8">
        <v>1.67</v>
      </c>
      <c r="BY8">
        <v>1.05</v>
      </c>
      <c r="BZ8">
        <v>0.61999999999999988</v>
      </c>
      <c r="CA8">
        <v>1.23</v>
      </c>
      <c r="CB8" t="e">
        <f>NA()</f>
        <v>#N/A</v>
      </c>
      <c r="CD8" s="20">
        <v>44623</v>
      </c>
      <c r="CE8">
        <v>12.3</v>
      </c>
      <c r="CF8">
        <v>10.5</v>
      </c>
      <c r="CG8">
        <v>13.5</v>
      </c>
      <c r="CH8">
        <v>10.5</v>
      </c>
      <c r="CI8">
        <v>3</v>
      </c>
      <c r="CJ8">
        <v>12.3</v>
      </c>
      <c r="CK8" t="e">
        <f>NA()</f>
        <v>#N/A</v>
      </c>
      <c r="CM8" s="20">
        <v>44623</v>
      </c>
      <c r="CN8">
        <v>4.4800000000000004</v>
      </c>
      <c r="CO8">
        <v>3.8</v>
      </c>
      <c r="CP8">
        <v>5</v>
      </c>
      <c r="CQ8">
        <v>3.8</v>
      </c>
      <c r="CR8">
        <v>1.2</v>
      </c>
      <c r="CS8">
        <v>4.4800000000000004</v>
      </c>
      <c r="CT8" t="e">
        <f>NA()</f>
        <v>#N/A</v>
      </c>
      <c r="CV8" s="20">
        <v>44623</v>
      </c>
      <c r="CW8">
        <v>35.9</v>
      </c>
      <c r="CX8">
        <v>24</v>
      </c>
      <c r="CY8">
        <v>44</v>
      </c>
      <c r="CZ8">
        <v>24</v>
      </c>
      <c r="DA8">
        <v>20</v>
      </c>
      <c r="DB8">
        <v>35.9</v>
      </c>
      <c r="DC8" t="e">
        <f>NA()</f>
        <v>#N/A</v>
      </c>
      <c r="DE8" s="20">
        <v>44623</v>
      </c>
      <c r="DF8">
        <v>80</v>
      </c>
      <c r="DG8">
        <v>78</v>
      </c>
      <c r="DH8">
        <v>92</v>
      </c>
      <c r="DI8">
        <v>78</v>
      </c>
      <c r="DJ8">
        <v>14</v>
      </c>
      <c r="DK8">
        <v>80</v>
      </c>
      <c r="DL8" t="e">
        <f>NA()</f>
        <v>#N/A</v>
      </c>
      <c r="DN8" s="20">
        <v>44623</v>
      </c>
      <c r="DO8">
        <v>27</v>
      </c>
      <c r="DP8">
        <v>26</v>
      </c>
      <c r="DQ8">
        <v>31</v>
      </c>
      <c r="DR8">
        <v>26</v>
      </c>
      <c r="DS8">
        <v>5</v>
      </c>
      <c r="DT8">
        <v>27</v>
      </c>
      <c r="DU8" t="e">
        <f>NA()</f>
        <v>#N/A</v>
      </c>
      <c r="DW8" s="20">
        <v>44623</v>
      </c>
      <c r="DX8">
        <v>34</v>
      </c>
      <c r="DY8">
        <v>31</v>
      </c>
      <c r="DZ8">
        <v>34</v>
      </c>
      <c r="EA8">
        <v>31</v>
      </c>
      <c r="EB8">
        <v>3</v>
      </c>
      <c r="EC8">
        <v>34</v>
      </c>
      <c r="ED8" t="e">
        <f>NA()</f>
        <v>#N/A</v>
      </c>
      <c r="EF8" s="20">
        <v>44623</v>
      </c>
      <c r="EG8">
        <v>12.1</v>
      </c>
      <c r="EH8">
        <v>11.3</v>
      </c>
      <c r="EI8">
        <v>15</v>
      </c>
      <c r="EJ8">
        <v>11.3</v>
      </c>
      <c r="EK8">
        <v>3.6999999999999988</v>
      </c>
      <c r="EL8">
        <v>12.1</v>
      </c>
      <c r="EM8" t="e">
        <f>NA()</f>
        <v>#N/A</v>
      </c>
      <c r="EO8" s="20">
        <v>44623</v>
      </c>
      <c r="EP8">
        <v>8200</v>
      </c>
      <c r="EQ8">
        <v>6000</v>
      </c>
      <c r="ER8">
        <v>17500</v>
      </c>
      <c r="ES8">
        <v>6000</v>
      </c>
      <c r="ET8">
        <v>11500</v>
      </c>
      <c r="EU8">
        <v>8200</v>
      </c>
      <c r="EV8" t="e">
        <f>NA()</f>
        <v>#N/A</v>
      </c>
      <c r="EX8" s="20">
        <v>44623</v>
      </c>
      <c r="EY8">
        <v>2545</v>
      </c>
      <c r="EZ8">
        <v>2000</v>
      </c>
      <c r="FA8">
        <v>5000</v>
      </c>
      <c r="FB8">
        <v>2000</v>
      </c>
      <c r="FC8">
        <v>3000</v>
      </c>
      <c r="FD8">
        <v>2545</v>
      </c>
      <c r="FE8" t="e">
        <f>NA()</f>
        <v>#N/A</v>
      </c>
      <c r="FG8" s="20">
        <v>44623</v>
      </c>
      <c r="FH8">
        <v>4680</v>
      </c>
      <c r="FI8">
        <v>5500</v>
      </c>
      <c r="FJ8">
        <v>9000</v>
      </c>
      <c r="FK8">
        <v>5500</v>
      </c>
      <c r="FL8">
        <v>3500</v>
      </c>
      <c r="FM8" t="e">
        <f>NA()</f>
        <v>#N/A</v>
      </c>
      <c r="FN8">
        <v>4680</v>
      </c>
      <c r="FP8" s="20">
        <v>44623</v>
      </c>
      <c r="FQ8">
        <v>903</v>
      </c>
      <c r="FR8">
        <v>200</v>
      </c>
      <c r="FS8">
        <v>1300</v>
      </c>
      <c r="FT8">
        <v>200</v>
      </c>
      <c r="FU8">
        <v>1100</v>
      </c>
      <c r="FV8">
        <v>903</v>
      </c>
      <c r="FW8" t="e">
        <f>NA()</f>
        <v>#N/A</v>
      </c>
      <c r="FY8" s="20">
        <v>45580</v>
      </c>
      <c r="FZ8">
        <v>100</v>
      </c>
      <c r="GA8">
        <v>100</v>
      </c>
      <c r="GB8">
        <v>1000</v>
      </c>
      <c r="GC8">
        <v>100</v>
      </c>
      <c r="GD8">
        <v>900</v>
      </c>
      <c r="GE8">
        <v>100</v>
      </c>
      <c r="GF8" t="e">
        <f>NA()</f>
        <v>#N/A</v>
      </c>
      <c r="GH8" s="20">
        <v>46246</v>
      </c>
      <c r="GI8">
        <v>40</v>
      </c>
      <c r="GJ8">
        <v>0</v>
      </c>
      <c r="GK8">
        <v>200</v>
      </c>
      <c r="GL8">
        <v>0</v>
      </c>
      <c r="GM8">
        <v>200</v>
      </c>
      <c r="GN8">
        <v>40</v>
      </c>
      <c r="GO8" t="e">
        <f>NA()</f>
        <v>#N/A</v>
      </c>
      <c r="GQ8" s="20">
        <v>44623</v>
      </c>
      <c r="GR8">
        <v>367000</v>
      </c>
      <c r="GS8">
        <v>200000</v>
      </c>
      <c r="GT8">
        <v>500000</v>
      </c>
      <c r="GU8">
        <v>200000</v>
      </c>
      <c r="GV8">
        <v>300000</v>
      </c>
      <c r="GW8">
        <v>367000</v>
      </c>
      <c r="GX8" t="e">
        <f>NA()</f>
        <v>#N/A</v>
      </c>
      <c r="JB8" s="20">
        <v>46056</v>
      </c>
      <c r="JC8">
        <v>82</v>
      </c>
      <c r="JD8">
        <v>60</v>
      </c>
      <c r="JE8">
        <v>99</v>
      </c>
      <c r="JF8">
        <v>60</v>
      </c>
      <c r="JG8">
        <v>39</v>
      </c>
      <c r="JH8">
        <v>82</v>
      </c>
      <c r="JI8" t="e">
        <f>NA()</f>
        <v>#N/A</v>
      </c>
    </row>
    <row r="9" spans="1:377" x14ac:dyDescent="0.25">
      <c r="CD9" s="20">
        <v>45580</v>
      </c>
      <c r="CE9">
        <v>12.2</v>
      </c>
      <c r="CF9">
        <v>11.5</v>
      </c>
      <c r="CG9">
        <v>13.5</v>
      </c>
      <c r="CH9">
        <v>11.5</v>
      </c>
      <c r="CI9">
        <v>2</v>
      </c>
      <c r="CJ9">
        <v>12.2</v>
      </c>
      <c r="CK9" t="e">
        <f>NA()</f>
        <v>#N/A</v>
      </c>
      <c r="CM9" s="20">
        <v>45580</v>
      </c>
      <c r="CN9">
        <v>4.95</v>
      </c>
      <c r="CO9">
        <v>3.9</v>
      </c>
      <c r="CP9">
        <v>5.3</v>
      </c>
      <c r="CQ9">
        <v>3.9</v>
      </c>
      <c r="CR9">
        <v>1.4</v>
      </c>
      <c r="CS9">
        <v>4.95</v>
      </c>
      <c r="CT9" t="e">
        <f>NA()</f>
        <v>#N/A</v>
      </c>
      <c r="CV9" s="20">
        <v>45580</v>
      </c>
      <c r="CW9">
        <v>40.700000000000003</v>
      </c>
      <c r="CX9">
        <v>34</v>
      </c>
      <c r="CY9">
        <v>40</v>
      </c>
      <c r="CZ9">
        <v>34</v>
      </c>
      <c r="DA9">
        <v>6</v>
      </c>
      <c r="DB9" t="e">
        <f>NA()</f>
        <v>#N/A</v>
      </c>
      <c r="DC9">
        <v>40.700000000000003</v>
      </c>
      <c r="DE9" s="20">
        <v>45580</v>
      </c>
      <c r="DF9">
        <v>82.2</v>
      </c>
      <c r="DG9">
        <v>75</v>
      </c>
      <c r="DH9">
        <v>87</v>
      </c>
      <c r="DI9">
        <v>75</v>
      </c>
      <c r="DJ9">
        <v>12</v>
      </c>
      <c r="DK9">
        <v>82.2</v>
      </c>
      <c r="DL9" t="e">
        <f>NA()</f>
        <v>#N/A</v>
      </c>
      <c r="DN9" s="20">
        <v>45580</v>
      </c>
      <c r="DO9">
        <v>24.6</v>
      </c>
      <c r="DP9">
        <v>24</v>
      </c>
      <c r="DQ9">
        <v>30</v>
      </c>
      <c r="DR9">
        <v>24</v>
      </c>
      <c r="DS9">
        <v>6</v>
      </c>
      <c r="DT9">
        <v>24.6</v>
      </c>
      <c r="DU9" t="e">
        <f>NA()</f>
        <v>#N/A</v>
      </c>
      <c r="DW9" s="20">
        <v>45580</v>
      </c>
      <c r="DX9">
        <v>30</v>
      </c>
      <c r="DY9">
        <v>32</v>
      </c>
      <c r="DZ9">
        <v>36</v>
      </c>
      <c r="EA9">
        <v>32</v>
      </c>
      <c r="EB9">
        <v>4</v>
      </c>
      <c r="EC9" t="e">
        <f>NA()</f>
        <v>#N/A</v>
      </c>
      <c r="ED9">
        <v>30</v>
      </c>
      <c r="EF9" s="20">
        <v>45580</v>
      </c>
      <c r="EG9">
        <v>14.6</v>
      </c>
      <c r="EH9">
        <v>11.5</v>
      </c>
      <c r="EI9">
        <v>14.8</v>
      </c>
      <c r="EJ9">
        <v>11.5</v>
      </c>
      <c r="EK9">
        <v>3.3000000000000012</v>
      </c>
      <c r="EL9">
        <v>14.6</v>
      </c>
      <c r="EM9" t="e">
        <f>NA()</f>
        <v>#N/A</v>
      </c>
      <c r="EO9" s="20">
        <v>45580</v>
      </c>
      <c r="EP9">
        <v>9930</v>
      </c>
      <c r="EQ9">
        <v>5000</v>
      </c>
      <c r="ER9">
        <v>14500</v>
      </c>
      <c r="ES9">
        <v>5000</v>
      </c>
      <c r="ET9">
        <v>9500</v>
      </c>
      <c r="EU9">
        <v>9930</v>
      </c>
      <c r="EV9" t="e">
        <f>NA()</f>
        <v>#N/A</v>
      </c>
      <c r="EX9" s="20">
        <v>45580</v>
      </c>
      <c r="EY9">
        <v>4600</v>
      </c>
      <c r="EZ9">
        <v>1500</v>
      </c>
      <c r="FA9">
        <v>8000</v>
      </c>
      <c r="FB9">
        <v>1500</v>
      </c>
      <c r="FC9">
        <v>6500</v>
      </c>
      <c r="FD9">
        <v>4600</v>
      </c>
      <c r="FE9" t="e">
        <f>NA()</f>
        <v>#N/A</v>
      </c>
      <c r="FG9" s="20">
        <v>45580</v>
      </c>
      <c r="FH9">
        <v>4260</v>
      </c>
      <c r="FI9">
        <v>1500</v>
      </c>
      <c r="FJ9">
        <v>7000</v>
      </c>
      <c r="FK9">
        <v>1500</v>
      </c>
      <c r="FL9">
        <v>5500</v>
      </c>
      <c r="FM9">
        <v>4260</v>
      </c>
      <c r="FN9" t="e">
        <f>NA()</f>
        <v>#N/A</v>
      </c>
      <c r="FP9" s="20">
        <v>45580</v>
      </c>
      <c r="FQ9">
        <v>940</v>
      </c>
      <c r="FR9">
        <v>200</v>
      </c>
      <c r="FS9">
        <v>1000</v>
      </c>
      <c r="FT9">
        <v>200</v>
      </c>
      <c r="FU9">
        <v>800</v>
      </c>
      <c r="FV9">
        <v>940</v>
      </c>
      <c r="FW9" t="e">
        <f>NA()</f>
        <v>#N/A</v>
      </c>
      <c r="FY9" s="20">
        <v>45805</v>
      </c>
      <c r="FZ9">
        <v>140</v>
      </c>
      <c r="GA9">
        <v>100</v>
      </c>
      <c r="GB9">
        <v>1000</v>
      </c>
      <c r="GC9">
        <v>100</v>
      </c>
      <c r="GD9">
        <v>900</v>
      </c>
      <c r="GE9">
        <v>140</v>
      </c>
      <c r="GF9" t="e">
        <f>NA()</f>
        <v>#N/A</v>
      </c>
      <c r="GQ9" s="20">
        <v>45580</v>
      </c>
      <c r="GR9">
        <v>379000</v>
      </c>
      <c r="GS9">
        <v>150000</v>
      </c>
      <c r="GT9">
        <v>450000</v>
      </c>
      <c r="GU9">
        <v>150000</v>
      </c>
      <c r="GV9">
        <v>300000</v>
      </c>
      <c r="GW9">
        <v>379000</v>
      </c>
      <c r="GX9" t="e">
        <f>NA()</f>
        <v>#N/A</v>
      </c>
      <c r="JB9" s="20">
        <v>46246</v>
      </c>
      <c r="JC9">
        <v>80</v>
      </c>
      <c r="JD9">
        <v>60</v>
      </c>
      <c r="JE9">
        <v>99</v>
      </c>
      <c r="JF9">
        <v>60</v>
      </c>
      <c r="JG9">
        <v>39</v>
      </c>
      <c r="JH9">
        <v>80</v>
      </c>
      <c r="JI9" t="e">
        <f>NA()</f>
        <v>#N/A</v>
      </c>
    </row>
    <row r="10" spans="1:377" x14ac:dyDescent="0.25">
      <c r="CD10" s="20">
        <v>45805</v>
      </c>
      <c r="CE10">
        <v>12.7</v>
      </c>
      <c r="CF10">
        <v>11.5</v>
      </c>
      <c r="CG10">
        <v>13.5</v>
      </c>
      <c r="CH10">
        <v>11.5</v>
      </c>
      <c r="CI10">
        <v>2</v>
      </c>
      <c r="CJ10">
        <v>12.7</v>
      </c>
      <c r="CK10" t="e">
        <f>NA()</f>
        <v>#N/A</v>
      </c>
      <c r="CM10" s="20">
        <v>45805</v>
      </c>
      <c r="CN10">
        <v>4.9000000000000004</v>
      </c>
      <c r="CO10">
        <v>3.9</v>
      </c>
      <c r="CP10">
        <v>5.3</v>
      </c>
      <c r="CQ10">
        <v>3.9</v>
      </c>
      <c r="CR10">
        <v>1.4</v>
      </c>
      <c r="CS10">
        <v>4.9000000000000004</v>
      </c>
      <c r="CT10" t="e">
        <f>NA()</f>
        <v>#N/A</v>
      </c>
      <c r="CV10" s="20">
        <v>45805</v>
      </c>
      <c r="CW10">
        <v>38.799999999999997</v>
      </c>
      <c r="CX10">
        <v>34</v>
      </c>
      <c r="CY10">
        <v>40</v>
      </c>
      <c r="CZ10">
        <v>34</v>
      </c>
      <c r="DA10">
        <v>6</v>
      </c>
      <c r="DB10">
        <v>38.799999999999997</v>
      </c>
      <c r="DC10" t="e">
        <f>NA()</f>
        <v>#N/A</v>
      </c>
      <c r="DE10" s="20">
        <v>45805</v>
      </c>
      <c r="DF10">
        <v>79.2</v>
      </c>
      <c r="DG10">
        <v>75</v>
      </c>
      <c r="DH10">
        <v>87</v>
      </c>
      <c r="DI10">
        <v>75</v>
      </c>
      <c r="DJ10">
        <v>12</v>
      </c>
      <c r="DK10">
        <v>79.2</v>
      </c>
      <c r="DL10" t="e">
        <f>NA()</f>
        <v>#N/A</v>
      </c>
      <c r="DN10" s="20">
        <v>45805</v>
      </c>
      <c r="DO10">
        <v>25.9</v>
      </c>
      <c r="DP10">
        <v>24</v>
      </c>
      <c r="DQ10">
        <v>30</v>
      </c>
      <c r="DR10">
        <v>24</v>
      </c>
      <c r="DS10">
        <v>6</v>
      </c>
      <c r="DT10">
        <v>25.9</v>
      </c>
      <c r="DU10" t="e">
        <f>NA()</f>
        <v>#N/A</v>
      </c>
      <c r="DW10" s="20">
        <v>45805</v>
      </c>
      <c r="DX10">
        <v>32.700000000000003</v>
      </c>
      <c r="DY10">
        <v>32</v>
      </c>
      <c r="DZ10">
        <v>36</v>
      </c>
      <c r="EA10">
        <v>32</v>
      </c>
      <c r="EB10">
        <v>4</v>
      </c>
      <c r="EC10">
        <v>32.700000000000003</v>
      </c>
      <c r="ED10" t="e">
        <f>NA()</f>
        <v>#N/A</v>
      </c>
      <c r="EF10" s="20">
        <v>45805</v>
      </c>
      <c r="EG10">
        <v>14.1</v>
      </c>
      <c r="EH10">
        <v>11.5</v>
      </c>
      <c r="EI10">
        <v>14.8</v>
      </c>
      <c r="EJ10">
        <v>11.5</v>
      </c>
      <c r="EK10">
        <v>3.3000000000000012</v>
      </c>
      <c r="EL10">
        <v>14.1</v>
      </c>
      <c r="EM10" t="e">
        <f>NA()</f>
        <v>#N/A</v>
      </c>
      <c r="EO10" s="20">
        <v>45805</v>
      </c>
      <c r="EP10">
        <v>8950</v>
      </c>
      <c r="EQ10">
        <v>5000</v>
      </c>
      <c r="ER10">
        <v>14500</v>
      </c>
      <c r="ES10">
        <v>5000</v>
      </c>
      <c r="ET10">
        <v>9500</v>
      </c>
      <c r="EU10">
        <v>8950</v>
      </c>
      <c r="EV10" t="e">
        <f>NA()</f>
        <v>#N/A</v>
      </c>
      <c r="EX10" s="20">
        <v>45805</v>
      </c>
      <c r="EY10">
        <v>3230</v>
      </c>
      <c r="EZ10">
        <v>1500</v>
      </c>
      <c r="FA10">
        <v>8000</v>
      </c>
      <c r="FB10">
        <v>1500</v>
      </c>
      <c r="FC10">
        <v>6500</v>
      </c>
      <c r="FD10">
        <v>3230</v>
      </c>
      <c r="FE10" t="e">
        <f>NA()</f>
        <v>#N/A</v>
      </c>
      <c r="FG10" s="20">
        <v>45805</v>
      </c>
      <c r="FH10">
        <v>4700</v>
      </c>
      <c r="FI10">
        <v>1500</v>
      </c>
      <c r="FJ10">
        <v>7000</v>
      </c>
      <c r="FK10">
        <v>1500</v>
      </c>
      <c r="FL10">
        <v>5500</v>
      </c>
      <c r="FM10">
        <v>4700</v>
      </c>
      <c r="FN10" t="e">
        <f>NA()</f>
        <v>#N/A</v>
      </c>
      <c r="FP10" s="20">
        <v>45805</v>
      </c>
      <c r="FQ10">
        <v>820</v>
      </c>
      <c r="FR10">
        <v>200</v>
      </c>
      <c r="FS10">
        <v>1000</v>
      </c>
      <c r="FT10">
        <v>200</v>
      </c>
      <c r="FU10">
        <v>800</v>
      </c>
      <c r="FV10">
        <v>820</v>
      </c>
      <c r="FW10" t="e">
        <f>NA()</f>
        <v>#N/A</v>
      </c>
      <c r="FY10" s="20">
        <v>45866</v>
      </c>
      <c r="FZ10">
        <v>100</v>
      </c>
      <c r="GA10">
        <v>100</v>
      </c>
      <c r="GB10">
        <v>1000</v>
      </c>
      <c r="GC10">
        <v>100</v>
      </c>
      <c r="GD10">
        <v>900</v>
      </c>
      <c r="GE10">
        <v>100</v>
      </c>
      <c r="GF10" t="e">
        <f>NA()</f>
        <v>#N/A</v>
      </c>
      <c r="GQ10" s="20">
        <v>45805</v>
      </c>
      <c r="GR10">
        <v>365000</v>
      </c>
      <c r="GS10">
        <v>150000</v>
      </c>
      <c r="GT10">
        <v>450000</v>
      </c>
      <c r="GU10">
        <v>150000</v>
      </c>
      <c r="GV10">
        <v>300000</v>
      </c>
      <c r="GW10">
        <v>365000</v>
      </c>
      <c r="GX10" t="e">
        <f>NA()</f>
        <v>#N/A</v>
      </c>
    </row>
    <row r="11" spans="1:377" x14ac:dyDescent="0.25">
      <c r="CD11" s="20">
        <v>45866</v>
      </c>
      <c r="CE11">
        <v>13.2</v>
      </c>
      <c r="CF11">
        <v>11.5</v>
      </c>
      <c r="CG11">
        <v>13.5</v>
      </c>
      <c r="CH11">
        <v>11.5</v>
      </c>
      <c r="CI11">
        <v>2</v>
      </c>
      <c r="CJ11">
        <v>13.2</v>
      </c>
      <c r="CK11" t="e">
        <f>NA()</f>
        <v>#N/A</v>
      </c>
      <c r="CM11" s="20">
        <v>45866</v>
      </c>
      <c r="CN11">
        <v>4.95</v>
      </c>
      <c r="CO11">
        <v>3.9</v>
      </c>
      <c r="CP11">
        <v>5.3</v>
      </c>
      <c r="CQ11">
        <v>3.9</v>
      </c>
      <c r="CR11">
        <v>1.4</v>
      </c>
      <c r="CS11">
        <v>4.95</v>
      </c>
      <c r="CT11" t="e">
        <f>NA()</f>
        <v>#N/A</v>
      </c>
      <c r="CV11" s="20">
        <v>45866</v>
      </c>
      <c r="CW11">
        <v>40.5</v>
      </c>
      <c r="CX11">
        <v>34</v>
      </c>
      <c r="CY11">
        <v>40</v>
      </c>
      <c r="CZ11">
        <v>34</v>
      </c>
      <c r="DA11">
        <v>6</v>
      </c>
      <c r="DB11" t="e">
        <f>NA()</f>
        <v>#N/A</v>
      </c>
      <c r="DC11">
        <v>40.5</v>
      </c>
      <c r="DE11" s="20">
        <v>45866</v>
      </c>
      <c r="DF11">
        <v>81.8</v>
      </c>
      <c r="DG11">
        <v>75</v>
      </c>
      <c r="DH11">
        <v>87</v>
      </c>
      <c r="DI11">
        <v>75</v>
      </c>
      <c r="DJ11">
        <v>12</v>
      </c>
      <c r="DK11">
        <v>81.8</v>
      </c>
      <c r="DL11" t="e">
        <f>NA()</f>
        <v>#N/A</v>
      </c>
      <c r="DN11" s="20">
        <v>45866</v>
      </c>
      <c r="DO11">
        <v>26.7</v>
      </c>
      <c r="DP11">
        <v>24</v>
      </c>
      <c r="DQ11">
        <v>30</v>
      </c>
      <c r="DR11">
        <v>24</v>
      </c>
      <c r="DS11">
        <v>6</v>
      </c>
      <c r="DT11">
        <v>26.7</v>
      </c>
      <c r="DU11" t="e">
        <f>NA()</f>
        <v>#N/A</v>
      </c>
      <c r="DW11" s="20">
        <v>45866</v>
      </c>
      <c r="DX11">
        <v>32.6</v>
      </c>
      <c r="DY11">
        <v>32</v>
      </c>
      <c r="DZ11">
        <v>36</v>
      </c>
      <c r="EA11">
        <v>32</v>
      </c>
      <c r="EB11">
        <v>4</v>
      </c>
      <c r="EC11">
        <v>32.6</v>
      </c>
      <c r="ED11" t="e">
        <f>NA()</f>
        <v>#N/A</v>
      </c>
      <c r="EF11" s="20">
        <v>45866</v>
      </c>
      <c r="EG11">
        <v>13.1</v>
      </c>
      <c r="EH11">
        <v>11.5</v>
      </c>
      <c r="EI11">
        <v>14.8</v>
      </c>
      <c r="EJ11">
        <v>11.5</v>
      </c>
      <c r="EK11">
        <v>3.3000000000000012</v>
      </c>
      <c r="EL11">
        <v>13.1</v>
      </c>
      <c r="EM11" t="e">
        <f>NA()</f>
        <v>#N/A</v>
      </c>
      <c r="EO11" s="20">
        <v>45866</v>
      </c>
      <c r="EP11">
        <v>13580</v>
      </c>
      <c r="EQ11">
        <v>5000</v>
      </c>
      <c r="ER11">
        <v>14500</v>
      </c>
      <c r="ES11">
        <v>5000</v>
      </c>
      <c r="ET11">
        <v>9500</v>
      </c>
      <c r="EU11">
        <v>13580</v>
      </c>
      <c r="EV11" t="e">
        <f>NA()</f>
        <v>#N/A</v>
      </c>
      <c r="EX11" s="20">
        <v>45866</v>
      </c>
      <c r="EY11">
        <v>6720</v>
      </c>
      <c r="EZ11">
        <v>1500</v>
      </c>
      <c r="FA11">
        <v>8000</v>
      </c>
      <c r="FB11">
        <v>1500</v>
      </c>
      <c r="FC11">
        <v>6500</v>
      </c>
      <c r="FD11">
        <v>6720</v>
      </c>
      <c r="FE11" t="e">
        <f>NA()</f>
        <v>#N/A</v>
      </c>
      <c r="FG11" s="20">
        <v>45866</v>
      </c>
      <c r="FH11">
        <v>5270</v>
      </c>
      <c r="FI11">
        <v>1500</v>
      </c>
      <c r="FJ11">
        <v>7000</v>
      </c>
      <c r="FK11">
        <v>1500</v>
      </c>
      <c r="FL11">
        <v>5500</v>
      </c>
      <c r="FM11">
        <v>5270</v>
      </c>
      <c r="FN11" t="e">
        <f>NA()</f>
        <v>#N/A</v>
      </c>
      <c r="FP11" s="20">
        <v>45866</v>
      </c>
      <c r="FQ11">
        <v>1420</v>
      </c>
      <c r="FR11">
        <v>200</v>
      </c>
      <c r="FS11">
        <v>1000</v>
      </c>
      <c r="FT11">
        <v>200</v>
      </c>
      <c r="FU11">
        <v>800</v>
      </c>
      <c r="FV11" t="e">
        <f>NA()</f>
        <v>#N/A</v>
      </c>
      <c r="FW11">
        <v>1420</v>
      </c>
      <c r="FY11" s="20">
        <v>46056</v>
      </c>
      <c r="FZ11">
        <v>190</v>
      </c>
      <c r="GA11">
        <v>100</v>
      </c>
      <c r="GB11">
        <v>1000</v>
      </c>
      <c r="GC11">
        <v>100</v>
      </c>
      <c r="GD11">
        <v>900</v>
      </c>
      <c r="GE11">
        <v>190</v>
      </c>
      <c r="GF11" t="e">
        <f>NA()</f>
        <v>#N/A</v>
      </c>
      <c r="GQ11" s="20">
        <v>45866</v>
      </c>
      <c r="GR11">
        <v>401000</v>
      </c>
      <c r="GS11">
        <v>150000</v>
      </c>
      <c r="GT11">
        <v>450000</v>
      </c>
      <c r="GU11">
        <v>150000</v>
      </c>
      <c r="GV11">
        <v>300000</v>
      </c>
      <c r="GW11">
        <v>401000</v>
      </c>
      <c r="GX11" t="e">
        <f>NA()</f>
        <v>#N/A</v>
      </c>
    </row>
    <row r="12" spans="1:377" x14ac:dyDescent="0.25">
      <c r="CD12" s="20">
        <v>46056</v>
      </c>
      <c r="CE12">
        <v>12.7</v>
      </c>
      <c r="CF12">
        <v>11.5</v>
      </c>
      <c r="CG12">
        <v>13.5</v>
      </c>
      <c r="CH12">
        <v>11.5</v>
      </c>
      <c r="CI12">
        <v>2</v>
      </c>
      <c r="CJ12">
        <v>12.7</v>
      </c>
      <c r="CK12" t="e">
        <f>NA()</f>
        <v>#N/A</v>
      </c>
      <c r="CM12" s="20">
        <v>46056</v>
      </c>
      <c r="CN12">
        <v>4.7</v>
      </c>
      <c r="CO12">
        <v>3.9</v>
      </c>
      <c r="CP12">
        <v>5.3</v>
      </c>
      <c r="CQ12">
        <v>3.9</v>
      </c>
      <c r="CR12">
        <v>1.4</v>
      </c>
      <c r="CS12">
        <v>4.7</v>
      </c>
      <c r="CT12" t="e">
        <f>NA()</f>
        <v>#N/A</v>
      </c>
      <c r="CV12" s="20">
        <v>46056</v>
      </c>
      <c r="CW12">
        <v>38</v>
      </c>
      <c r="CX12">
        <v>34</v>
      </c>
      <c r="CY12">
        <v>40</v>
      </c>
      <c r="CZ12">
        <v>34</v>
      </c>
      <c r="DA12">
        <v>6</v>
      </c>
      <c r="DB12">
        <v>38</v>
      </c>
      <c r="DC12" t="e">
        <f>NA()</f>
        <v>#N/A</v>
      </c>
      <c r="DE12" s="20">
        <v>46056</v>
      </c>
      <c r="DF12">
        <v>80.900000000000006</v>
      </c>
      <c r="DG12">
        <v>75</v>
      </c>
      <c r="DH12">
        <v>87</v>
      </c>
      <c r="DI12">
        <v>75</v>
      </c>
      <c r="DJ12">
        <v>12</v>
      </c>
      <c r="DK12">
        <v>80.900000000000006</v>
      </c>
      <c r="DL12" t="e">
        <f>NA()</f>
        <v>#N/A</v>
      </c>
      <c r="DN12" s="20">
        <v>46056</v>
      </c>
      <c r="DO12">
        <v>27</v>
      </c>
      <c r="DP12">
        <v>24</v>
      </c>
      <c r="DQ12">
        <v>30</v>
      </c>
      <c r="DR12">
        <v>24</v>
      </c>
      <c r="DS12">
        <v>6</v>
      </c>
      <c r="DT12">
        <v>27</v>
      </c>
      <c r="DU12" t="e">
        <f>NA()</f>
        <v>#N/A</v>
      </c>
      <c r="DW12" s="20">
        <v>46056</v>
      </c>
      <c r="DX12">
        <v>33.4</v>
      </c>
      <c r="DY12">
        <v>32</v>
      </c>
      <c r="DZ12">
        <v>36</v>
      </c>
      <c r="EA12">
        <v>32</v>
      </c>
      <c r="EB12">
        <v>4</v>
      </c>
      <c r="EC12">
        <v>33.4</v>
      </c>
      <c r="ED12" t="e">
        <f>NA()</f>
        <v>#N/A</v>
      </c>
      <c r="EF12" s="20">
        <v>46056</v>
      </c>
      <c r="EG12">
        <v>13.1</v>
      </c>
      <c r="EH12">
        <v>11.5</v>
      </c>
      <c r="EI12">
        <v>14.8</v>
      </c>
      <c r="EJ12">
        <v>11.5</v>
      </c>
      <c r="EK12">
        <v>3.3000000000000012</v>
      </c>
      <c r="EL12">
        <v>13.1</v>
      </c>
      <c r="EM12" t="e">
        <f>NA()</f>
        <v>#N/A</v>
      </c>
      <c r="EO12" s="20">
        <v>46056</v>
      </c>
      <c r="EP12">
        <v>8810</v>
      </c>
      <c r="EQ12">
        <v>5000</v>
      </c>
      <c r="ER12">
        <v>14500</v>
      </c>
      <c r="ES12">
        <v>5000</v>
      </c>
      <c r="ET12">
        <v>9500</v>
      </c>
      <c r="EU12">
        <v>8810</v>
      </c>
      <c r="EV12" t="e">
        <f>NA()</f>
        <v>#N/A</v>
      </c>
      <c r="EX12" s="20">
        <v>46056</v>
      </c>
      <c r="EY12">
        <v>3990</v>
      </c>
      <c r="EZ12">
        <v>1500</v>
      </c>
      <c r="FA12">
        <v>8000</v>
      </c>
      <c r="FB12">
        <v>1500</v>
      </c>
      <c r="FC12">
        <v>6500</v>
      </c>
      <c r="FD12">
        <v>3990</v>
      </c>
      <c r="FE12" t="e">
        <f>NA()</f>
        <v>#N/A</v>
      </c>
      <c r="FG12" s="20">
        <v>46056</v>
      </c>
      <c r="FH12">
        <v>3690</v>
      </c>
      <c r="FI12">
        <v>1500</v>
      </c>
      <c r="FJ12">
        <v>7000</v>
      </c>
      <c r="FK12">
        <v>1500</v>
      </c>
      <c r="FL12">
        <v>5500</v>
      </c>
      <c r="FM12">
        <v>3690</v>
      </c>
      <c r="FN12" t="e">
        <f>NA()</f>
        <v>#N/A</v>
      </c>
      <c r="FP12" s="20">
        <v>46056</v>
      </c>
      <c r="FQ12">
        <v>910</v>
      </c>
      <c r="FR12">
        <v>200</v>
      </c>
      <c r="FS12">
        <v>1000</v>
      </c>
      <c r="FT12">
        <v>200</v>
      </c>
      <c r="FU12">
        <v>800</v>
      </c>
      <c r="FV12">
        <v>910</v>
      </c>
      <c r="FW12" t="e">
        <f>NA()</f>
        <v>#N/A</v>
      </c>
      <c r="FY12" s="20">
        <v>46232</v>
      </c>
      <c r="FZ12">
        <v>0</v>
      </c>
      <c r="GA12">
        <v>100</v>
      </c>
      <c r="GB12">
        <v>1000</v>
      </c>
      <c r="GC12">
        <v>100</v>
      </c>
      <c r="GD12">
        <v>900</v>
      </c>
      <c r="GE12" t="e">
        <f>NA()</f>
        <v>#N/A</v>
      </c>
      <c r="GF12">
        <v>0</v>
      </c>
      <c r="GQ12" s="20">
        <v>46056</v>
      </c>
      <c r="GR12">
        <v>309000</v>
      </c>
      <c r="GS12">
        <v>150000</v>
      </c>
      <c r="GT12">
        <v>450000</v>
      </c>
      <c r="GU12">
        <v>150000</v>
      </c>
      <c r="GV12">
        <v>300000</v>
      </c>
      <c r="GW12">
        <v>309000</v>
      </c>
      <c r="GX12" t="e">
        <f>NA()</f>
        <v>#N/A</v>
      </c>
    </row>
    <row r="13" spans="1:377" x14ac:dyDescent="0.25">
      <c r="CD13" s="20">
        <v>46232</v>
      </c>
      <c r="CE13">
        <v>13</v>
      </c>
      <c r="CF13">
        <v>11.5</v>
      </c>
      <c r="CG13">
        <v>13.5</v>
      </c>
      <c r="CH13">
        <v>11.5</v>
      </c>
      <c r="CI13">
        <v>2</v>
      </c>
      <c r="CJ13">
        <v>13</v>
      </c>
      <c r="CK13" t="e">
        <f>NA()</f>
        <v>#N/A</v>
      </c>
      <c r="CM13" s="20">
        <v>46232</v>
      </c>
      <c r="CN13">
        <v>4.78</v>
      </c>
      <c r="CO13">
        <v>3.9</v>
      </c>
      <c r="CP13">
        <v>5.3</v>
      </c>
      <c r="CQ13">
        <v>3.9</v>
      </c>
      <c r="CR13">
        <v>1.4</v>
      </c>
      <c r="CS13">
        <v>4.78</v>
      </c>
      <c r="CT13" t="e">
        <f>NA()</f>
        <v>#N/A</v>
      </c>
      <c r="CV13" s="20">
        <v>46232</v>
      </c>
      <c r="CW13">
        <v>38.4</v>
      </c>
      <c r="CX13">
        <v>34</v>
      </c>
      <c r="CY13">
        <v>40</v>
      </c>
      <c r="CZ13">
        <v>34</v>
      </c>
      <c r="DA13">
        <v>6</v>
      </c>
      <c r="DB13">
        <v>38.4</v>
      </c>
      <c r="DC13" t="e">
        <f>NA()</f>
        <v>#N/A</v>
      </c>
      <c r="DE13" s="20">
        <v>46232</v>
      </c>
      <c r="DF13">
        <v>80.3</v>
      </c>
      <c r="DG13">
        <v>75</v>
      </c>
      <c r="DH13">
        <v>87</v>
      </c>
      <c r="DI13">
        <v>75</v>
      </c>
      <c r="DJ13">
        <v>12</v>
      </c>
      <c r="DK13">
        <v>80.3</v>
      </c>
      <c r="DL13" t="e">
        <f>NA()</f>
        <v>#N/A</v>
      </c>
      <c r="DN13" s="20">
        <v>46232</v>
      </c>
      <c r="DO13">
        <v>27.2</v>
      </c>
      <c r="DP13">
        <v>24</v>
      </c>
      <c r="DQ13">
        <v>30</v>
      </c>
      <c r="DR13">
        <v>24</v>
      </c>
      <c r="DS13">
        <v>6</v>
      </c>
      <c r="DT13">
        <v>27.2</v>
      </c>
      <c r="DU13" t="e">
        <f>NA()</f>
        <v>#N/A</v>
      </c>
      <c r="DW13" s="20">
        <v>46232</v>
      </c>
      <c r="DX13">
        <v>33.9</v>
      </c>
      <c r="DY13">
        <v>32</v>
      </c>
      <c r="DZ13">
        <v>36</v>
      </c>
      <c r="EA13">
        <v>32</v>
      </c>
      <c r="EB13">
        <v>4</v>
      </c>
      <c r="EC13">
        <v>33.9</v>
      </c>
      <c r="ED13" t="e">
        <f>NA()</f>
        <v>#N/A</v>
      </c>
      <c r="EF13" s="20">
        <v>46232</v>
      </c>
      <c r="EG13">
        <v>13.2</v>
      </c>
      <c r="EH13">
        <v>11.5</v>
      </c>
      <c r="EI13">
        <v>14.8</v>
      </c>
      <c r="EJ13">
        <v>11.5</v>
      </c>
      <c r="EK13">
        <v>3.3000000000000012</v>
      </c>
      <c r="EL13">
        <v>13.2</v>
      </c>
      <c r="EM13" t="e">
        <f>NA()</f>
        <v>#N/A</v>
      </c>
      <c r="EO13" s="20">
        <v>46232</v>
      </c>
      <c r="EP13">
        <v>4310</v>
      </c>
      <c r="EQ13">
        <v>5000</v>
      </c>
      <c r="ER13">
        <v>14500</v>
      </c>
      <c r="ES13">
        <v>5000</v>
      </c>
      <c r="ET13">
        <v>9500</v>
      </c>
      <c r="EU13" t="e">
        <f>NA()</f>
        <v>#N/A</v>
      </c>
      <c r="EV13">
        <v>4310</v>
      </c>
      <c r="EX13" s="20">
        <v>46232</v>
      </c>
      <c r="EY13">
        <v>2240</v>
      </c>
      <c r="EZ13">
        <v>1500</v>
      </c>
      <c r="FA13">
        <v>8000</v>
      </c>
      <c r="FB13">
        <v>1500</v>
      </c>
      <c r="FC13">
        <v>6500</v>
      </c>
      <c r="FD13">
        <v>2240</v>
      </c>
      <c r="FE13" t="e">
        <f>NA()</f>
        <v>#N/A</v>
      </c>
      <c r="FG13" s="20">
        <v>46232</v>
      </c>
      <c r="FH13">
        <v>1030</v>
      </c>
      <c r="FI13">
        <v>1500</v>
      </c>
      <c r="FJ13">
        <v>7000</v>
      </c>
      <c r="FK13">
        <v>1500</v>
      </c>
      <c r="FL13">
        <v>5500</v>
      </c>
      <c r="FM13" t="e">
        <f>NA()</f>
        <v>#N/A</v>
      </c>
      <c r="FN13">
        <v>1030</v>
      </c>
      <c r="FP13" s="20">
        <v>46232</v>
      </c>
      <c r="FQ13">
        <v>1030</v>
      </c>
      <c r="FR13">
        <v>200</v>
      </c>
      <c r="FS13">
        <v>1000</v>
      </c>
      <c r="FT13">
        <v>200</v>
      </c>
      <c r="FU13">
        <v>800</v>
      </c>
      <c r="FV13" t="e">
        <f>NA()</f>
        <v>#N/A</v>
      </c>
      <c r="FW13">
        <v>1030</v>
      </c>
      <c r="FY13" s="20">
        <v>46246</v>
      </c>
      <c r="FZ13">
        <v>100</v>
      </c>
      <c r="GA13">
        <v>100</v>
      </c>
      <c r="GB13">
        <v>1000</v>
      </c>
      <c r="GC13">
        <v>100</v>
      </c>
      <c r="GD13">
        <v>900</v>
      </c>
      <c r="GE13">
        <v>100</v>
      </c>
      <c r="GF13" t="e">
        <f>NA()</f>
        <v>#N/A</v>
      </c>
      <c r="GQ13" s="20">
        <v>46232</v>
      </c>
      <c r="GR13">
        <v>202000</v>
      </c>
      <c r="GS13">
        <v>150000</v>
      </c>
      <c r="GT13">
        <v>450000</v>
      </c>
      <c r="GU13">
        <v>150000</v>
      </c>
      <c r="GV13">
        <v>300000</v>
      </c>
      <c r="GW13">
        <v>202000</v>
      </c>
      <c r="GX13" t="e">
        <f>NA()</f>
        <v>#N/A</v>
      </c>
    </row>
    <row r="14" spans="1:377" x14ac:dyDescent="0.25">
      <c r="CD14" s="20">
        <v>46246</v>
      </c>
      <c r="CE14">
        <v>12.9</v>
      </c>
      <c r="CF14">
        <v>11.5</v>
      </c>
      <c r="CG14">
        <v>13.5</v>
      </c>
      <c r="CH14">
        <v>11.5</v>
      </c>
      <c r="CI14">
        <v>2</v>
      </c>
      <c r="CJ14">
        <v>12.9</v>
      </c>
      <c r="CK14" t="e">
        <f>NA()</f>
        <v>#N/A</v>
      </c>
      <c r="CM14" s="20">
        <v>46246</v>
      </c>
      <c r="CN14">
        <v>4.8600000000000003</v>
      </c>
      <c r="CO14">
        <v>3.9</v>
      </c>
      <c r="CP14">
        <v>5.3</v>
      </c>
      <c r="CQ14">
        <v>3.9</v>
      </c>
      <c r="CR14">
        <v>1.4</v>
      </c>
      <c r="CS14">
        <v>4.8600000000000003</v>
      </c>
      <c r="CT14" t="e">
        <f>NA()</f>
        <v>#N/A</v>
      </c>
      <c r="CV14" s="20">
        <v>46246</v>
      </c>
      <c r="CW14">
        <v>38.5</v>
      </c>
      <c r="CX14">
        <v>34</v>
      </c>
      <c r="CY14">
        <v>40</v>
      </c>
      <c r="CZ14">
        <v>34</v>
      </c>
      <c r="DA14">
        <v>6</v>
      </c>
      <c r="DB14">
        <v>38.5</v>
      </c>
      <c r="DC14" t="e">
        <f>NA()</f>
        <v>#N/A</v>
      </c>
      <c r="DE14" s="20">
        <v>46246</v>
      </c>
      <c r="DF14">
        <v>79.2</v>
      </c>
      <c r="DG14">
        <v>75</v>
      </c>
      <c r="DH14">
        <v>87</v>
      </c>
      <c r="DI14">
        <v>75</v>
      </c>
      <c r="DJ14">
        <v>12</v>
      </c>
      <c r="DK14">
        <v>79.2</v>
      </c>
      <c r="DL14" t="e">
        <f>NA()</f>
        <v>#N/A</v>
      </c>
      <c r="DN14" s="20">
        <v>46246</v>
      </c>
      <c r="DO14">
        <v>26.5</v>
      </c>
      <c r="DP14">
        <v>24</v>
      </c>
      <c r="DQ14">
        <v>30</v>
      </c>
      <c r="DR14">
        <v>24</v>
      </c>
      <c r="DS14">
        <v>6</v>
      </c>
      <c r="DT14">
        <v>26.5</v>
      </c>
      <c r="DU14" t="e">
        <f>NA()</f>
        <v>#N/A</v>
      </c>
      <c r="DW14" s="20">
        <v>46246</v>
      </c>
      <c r="DX14">
        <v>33.5</v>
      </c>
      <c r="DY14">
        <v>32</v>
      </c>
      <c r="DZ14">
        <v>36</v>
      </c>
      <c r="EA14">
        <v>32</v>
      </c>
      <c r="EB14">
        <v>4</v>
      </c>
      <c r="EC14">
        <v>33.5</v>
      </c>
      <c r="ED14" t="e">
        <f>NA()</f>
        <v>#N/A</v>
      </c>
      <c r="EF14" s="20">
        <v>46246</v>
      </c>
      <c r="EG14">
        <v>12.4</v>
      </c>
      <c r="EH14">
        <v>11.5</v>
      </c>
      <c r="EI14">
        <v>14.8</v>
      </c>
      <c r="EJ14">
        <v>11.5</v>
      </c>
      <c r="EK14">
        <v>3.3000000000000012</v>
      </c>
      <c r="EL14">
        <v>12.4</v>
      </c>
      <c r="EM14" t="e">
        <f>NA()</f>
        <v>#N/A</v>
      </c>
      <c r="EO14" s="20">
        <v>46246</v>
      </c>
      <c r="EP14">
        <v>7560</v>
      </c>
      <c r="EQ14">
        <v>5000</v>
      </c>
      <c r="ER14">
        <v>14500</v>
      </c>
      <c r="ES14">
        <v>5000</v>
      </c>
      <c r="ET14">
        <v>9500</v>
      </c>
      <c r="EU14">
        <v>7560</v>
      </c>
      <c r="EV14" t="e">
        <f>NA()</f>
        <v>#N/A</v>
      </c>
      <c r="EX14" s="20">
        <v>46246</v>
      </c>
      <c r="EY14">
        <v>2440</v>
      </c>
      <c r="EZ14">
        <v>1500</v>
      </c>
      <c r="FA14">
        <v>8000</v>
      </c>
      <c r="FB14">
        <v>1500</v>
      </c>
      <c r="FC14">
        <v>6500</v>
      </c>
      <c r="FD14">
        <v>2440</v>
      </c>
      <c r="FE14" t="e">
        <f>NA()</f>
        <v>#N/A</v>
      </c>
      <c r="FG14" s="20">
        <v>46246</v>
      </c>
      <c r="FH14">
        <v>4180</v>
      </c>
      <c r="FI14">
        <v>1500</v>
      </c>
      <c r="FJ14">
        <v>7000</v>
      </c>
      <c r="FK14">
        <v>1500</v>
      </c>
      <c r="FL14">
        <v>5500</v>
      </c>
      <c r="FM14">
        <v>4180</v>
      </c>
      <c r="FN14" t="e">
        <f>NA()</f>
        <v>#N/A</v>
      </c>
      <c r="FP14" s="20">
        <v>46246</v>
      </c>
      <c r="FQ14">
        <v>800</v>
      </c>
      <c r="FR14">
        <v>200</v>
      </c>
      <c r="FS14">
        <v>1000</v>
      </c>
      <c r="FT14">
        <v>200</v>
      </c>
      <c r="FU14">
        <v>800</v>
      </c>
      <c r="FV14">
        <v>800</v>
      </c>
      <c r="FW14" t="e">
        <f>NA()</f>
        <v>#N/A</v>
      </c>
      <c r="GQ14" s="20">
        <v>46246</v>
      </c>
      <c r="GR14">
        <v>458000</v>
      </c>
      <c r="GS14">
        <v>150000</v>
      </c>
      <c r="GT14">
        <v>450000</v>
      </c>
      <c r="GU14">
        <v>150000</v>
      </c>
      <c r="GV14">
        <v>300000</v>
      </c>
      <c r="GW14" t="e">
        <f>NA()</f>
        <v>#N/A</v>
      </c>
      <c r="GX14">
        <v>458000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1ABC9C"/>
    <pageSetUpPr fitToPage="1"/>
  </sheetPr>
  <dimension ref="A1:L797"/>
  <sheetViews>
    <sheetView showGridLines="0" workbookViewId="0"/>
  </sheetViews>
  <sheetFormatPr defaultRowHeight="15" x14ac:dyDescent="0.25"/>
  <cols>
    <col min="1" max="12" width="10.7109375" customWidth="1"/>
  </cols>
  <sheetData>
    <row r="1" spans="1:12" ht="21.95" customHeight="1" x14ac:dyDescent="0.25">
      <c r="A1" s="22" t="s">
        <v>476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ht="32.1" customHeight="1" x14ac:dyDescent="0.25">
      <c r="A2" s="23" t="s">
        <v>477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4" spans="1:12" ht="20.100000000000001" customHeight="1" x14ac:dyDescent="0.25">
      <c r="A4" s="25" t="s">
        <v>8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</row>
    <row r="5" spans="1:12" ht="18" customHeight="1" x14ac:dyDescent="0.25">
      <c r="A5" s="26" t="s">
        <v>486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 x14ac:dyDescent="0.25">
      <c r="A6" s="7" t="s">
        <v>487</v>
      </c>
    </row>
    <row r="23" spans="1:12" ht="18" customHeight="1" x14ac:dyDescent="0.25">
      <c r="A23" s="26" t="s">
        <v>488</v>
      </c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25">
      <c r="A24" s="7" t="s">
        <v>489</v>
      </c>
    </row>
    <row r="41" spans="1:12" ht="18" customHeight="1" x14ac:dyDescent="0.25">
      <c r="A41" s="26" t="s">
        <v>490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</row>
    <row r="42" spans="1:12" x14ac:dyDescent="0.25">
      <c r="A42" s="7" t="s">
        <v>489</v>
      </c>
    </row>
    <row r="59" spans="1:12" ht="18" customHeight="1" x14ac:dyDescent="0.25">
      <c r="A59" s="26" t="s">
        <v>492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</row>
    <row r="60" spans="1:12" x14ac:dyDescent="0.25">
      <c r="A60" s="7" t="s">
        <v>493</v>
      </c>
    </row>
    <row r="77" spans="1:12" ht="18" customHeight="1" x14ac:dyDescent="0.25">
      <c r="A77" s="26" t="s">
        <v>495</v>
      </c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</row>
    <row r="78" spans="1:12" x14ac:dyDescent="0.25">
      <c r="A78" s="7" t="s">
        <v>496</v>
      </c>
    </row>
    <row r="95" spans="1:12" ht="18" customHeight="1" x14ac:dyDescent="0.25">
      <c r="A95" s="26" t="s">
        <v>498</v>
      </c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</row>
    <row r="96" spans="1:12" x14ac:dyDescent="0.25">
      <c r="A96" s="7" t="s">
        <v>499</v>
      </c>
    </row>
    <row r="113" spans="1:12" ht="20.100000000000001" customHeight="1" x14ac:dyDescent="0.25">
      <c r="A113" s="25" t="s">
        <v>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</row>
    <row r="114" spans="1:12" ht="18" customHeight="1" x14ac:dyDescent="0.25">
      <c r="A114" s="26" t="s">
        <v>500</v>
      </c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</row>
    <row r="115" spans="1:12" x14ac:dyDescent="0.25">
      <c r="A115" s="7" t="s">
        <v>501</v>
      </c>
    </row>
    <row r="132" spans="1:12" ht="20.100000000000001" customHeight="1" x14ac:dyDescent="0.25">
      <c r="A132" s="25" t="s">
        <v>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</row>
    <row r="133" spans="1:12" ht="18" customHeight="1" x14ac:dyDescent="0.25">
      <c r="A133" s="26" t="s">
        <v>502</v>
      </c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</row>
    <row r="134" spans="1:12" x14ac:dyDescent="0.25">
      <c r="A134" s="7" t="s">
        <v>487</v>
      </c>
    </row>
    <row r="151" spans="1:12" ht="18" customHeight="1" x14ac:dyDescent="0.25">
      <c r="A151" s="26" t="s">
        <v>503</v>
      </c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</row>
    <row r="152" spans="1:12" x14ac:dyDescent="0.25">
      <c r="A152" s="7" t="s">
        <v>487</v>
      </c>
    </row>
    <row r="169" spans="1:12" ht="20.100000000000001" customHeight="1" x14ac:dyDescent="0.25">
      <c r="A169" s="25" t="s">
        <v>25</v>
      </c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</row>
    <row r="170" spans="1:12" ht="18" customHeight="1" x14ac:dyDescent="0.25">
      <c r="A170" s="26" t="s">
        <v>504</v>
      </c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</row>
    <row r="171" spans="1:12" x14ac:dyDescent="0.25">
      <c r="A171" s="7" t="s">
        <v>487</v>
      </c>
    </row>
    <row r="188" spans="1:12" ht="18" customHeight="1" x14ac:dyDescent="0.25">
      <c r="A188" s="26" t="s">
        <v>505</v>
      </c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</row>
    <row r="189" spans="1:12" x14ac:dyDescent="0.25">
      <c r="A189" s="7" t="s">
        <v>487</v>
      </c>
    </row>
    <row r="206" spans="1:12" ht="18" customHeight="1" x14ac:dyDescent="0.25">
      <c r="A206" s="26" t="s">
        <v>506</v>
      </c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</row>
    <row r="207" spans="1:12" x14ac:dyDescent="0.25">
      <c r="A207" s="7" t="s">
        <v>487</v>
      </c>
    </row>
    <row r="224" spans="1:12" ht="18" customHeight="1" x14ac:dyDescent="0.25">
      <c r="A224" s="26" t="s">
        <v>507</v>
      </c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</row>
    <row r="225" spans="1:1" x14ac:dyDescent="0.25">
      <c r="A225" s="7" t="s">
        <v>487</v>
      </c>
    </row>
    <row r="242" spans="1:12" ht="18" customHeight="1" x14ac:dyDescent="0.25">
      <c r="A242" s="26" t="s">
        <v>509</v>
      </c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</row>
    <row r="243" spans="1:12" x14ac:dyDescent="0.25">
      <c r="A243" s="7" t="s">
        <v>487</v>
      </c>
    </row>
    <row r="260" spans="1:12" ht="18" customHeight="1" x14ac:dyDescent="0.25">
      <c r="A260" s="26" t="s">
        <v>510</v>
      </c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</row>
    <row r="261" spans="1:12" x14ac:dyDescent="0.25">
      <c r="A261" s="7" t="s">
        <v>487</v>
      </c>
    </row>
    <row r="278" spans="1:12" ht="18" customHeight="1" x14ac:dyDescent="0.25">
      <c r="A278" s="26" t="s">
        <v>511</v>
      </c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</row>
    <row r="279" spans="1:12" x14ac:dyDescent="0.25">
      <c r="A279" s="7" t="s">
        <v>487</v>
      </c>
    </row>
    <row r="296" spans="1:12" ht="18" customHeight="1" x14ac:dyDescent="0.25">
      <c r="A296" s="26" t="s">
        <v>512</v>
      </c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</row>
    <row r="297" spans="1:12" x14ac:dyDescent="0.25">
      <c r="A297" s="7" t="s">
        <v>487</v>
      </c>
    </row>
    <row r="314" spans="1:12" ht="18" customHeight="1" x14ac:dyDescent="0.25">
      <c r="A314" s="26" t="s">
        <v>513</v>
      </c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</row>
    <row r="315" spans="1:12" x14ac:dyDescent="0.25">
      <c r="A315" s="7" t="s">
        <v>487</v>
      </c>
    </row>
    <row r="332" spans="1:12" ht="18" customHeight="1" x14ac:dyDescent="0.25">
      <c r="A332" s="26" t="s">
        <v>514</v>
      </c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</row>
    <row r="333" spans="1:12" x14ac:dyDescent="0.25">
      <c r="A333" s="7" t="s">
        <v>487</v>
      </c>
    </row>
    <row r="350" spans="1:12" ht="18" customHeight="1" x14ac:dyDescent="0.25">
      <c r="A350" s="26" t="s">
        <v>515</v>
      </c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</row>
    <row r="351" spans="1:12" x14ac:dyDescent="0.25">
      <c r="A351" s="7" t="s">
        <v>487</v>
      </c>
    </row>
    <row r="368" spans="1:12" ht="18" customHeight="1" x14ac:dyDescent="0.25">
      <c r="A368" s="26" t="s">
        <v>516</v>
      </c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</row>
    <row r="369" spans="1:1" x14ac:dyDescent="0.25">
      <c r="A369" s="7" t="s">
        <v>487</v>
      </c>
    </row>
    <row r="386" spans="1:12" ht="18" customHeight="1" x14ac:dyDescent="0.25">
      <c r="A386" s="26" t="s">
        <v>517</v>
      </c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</row>
    <row r="387" spans="1:12" x14ac:dyDescent="0.25">
      <c r="A387" s="7" t="s">
        <v>487</v>
      </c>
    </row>
    <row r="404" spans="1:12" ht="18" customHeight="1" x14ac:dyDescent="0.25">
      <c r="A404" s="26" t="s">
        <v>518</v>
      </c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</row>
    <row r="405" spans="1:12" x14ac:dyDescent="0.25">
      <c r="A405" s="7" t="s">
        <v>487</v>
      </c>
    </row>
    <row r="422" spans="1:12" ht="18" customHeight="1" x14ac:dyDescent="0.25">
      <c r="A422" s="26" t="s">
        <v>519</v>
      </c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</row>
    <row r="423" spans="1:12" x14ac:dyDescent="0.25">
      <c r="A423" s="7" t="s">
        <v>487</v>
      </c>
    </row>
    <row r="440" spans="1:12" ht="20.100000000000001" customHeight="1" x14ac:dyDescent="0.25">
      <c r="A440" s="25" t="s">
        <v>57</v>
      </c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</row>
    <row r="441" spans="1:12" ht="18" customHeight="1" x14ac:dyDescent="0.25">
      <c r="A441" s="26" t="s">
        <v>520</v>
      </c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</row>
    <row r="442" spans="1:12" x14ac:dyDescent="0.25">
      <c r="A442" s="7" t="s">
        <v>487</v>
      </c>
    </row>
    <row r="459" spans="1:12" ht="18" customHeight="1" x14ac:dyDescent="0.25">
      <c r="A459" s="26" t="s">
        <v>521</v>
      </c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</row>
    <row r="460" spans="1:12" x14ac:dyDescent="0.25">
      <c r="A460" s="7" t="s">
        <v>487</v>
      </c>
    </row>
    <row r="477" spans="1:12" ht="18" customHeight="1" x14ac:dyDescent="0.25">
      <c r="A477" s="26" t="s">
        <v>522</v>
      </c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</row>
    <row r="478" spans="1:12" x14ac:dyDescent="0.25">
      <c r="A478" s="7" t="s">
        <v>487</v>
      </c>
    </row>
    <row r="495" spans="1:12" ht="18" customHeight="1" x14ac:dyDescent="0.25">
      <c r="A495" s="26" t="s">
        <v>523</v>
      </c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</row>
    <row r="496" spans="1:12" x14ac:dyDescent="0.25">
      <c r="A496" s="7" t="s">
        <v>487</v>
      </c>
    </row>
    <row r="513" spans="1:12" ht="18" customHeight="1" x14ac:dyDescent="0.25">
      <c r="A513" s="26" t="s">
        <v>524</v>
      </c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</row>
    <row r="514" spans="1:12" x14ac:dyDescent="0.25">
      <c r="A514" s="7" t="s">
        <v>487</v>
      </c>
    </row>
    <row r="531" spans="1:12" ht="20.100000000000001" customHeight="1" x14ac:dyDescent="0.25">
      <c r="A531" s="25" t="s">
        <v>70</v>
      </c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</row>
    <row r="532" spans="1:12" ht="18" customHeight="1" x14ac:dyDescent="0.25">
      <c r="A532" s="26" t="s">
        <v>525</v>
      </c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</row>
    <row r="533" spans="1:12" x14ac:dyDescent="0.25">
      <c r="A533" s="7" t="s">
        <v>487</v>
      </c>
    </row>
    <row r="550" spans="1:12" ht="18" customHeight="1" x14ac:dyDescent="0.25">
      <c r="A550" s="26" t="s">
        <v>527</v>
      </c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</row>
    <row r="551" spans="1:12" x14ac:dyDescent="0.25">
      <c r="A551" s="7" t="s">
        <v>487</v>
      </c>
    </row>
    <row r="568" spans="1:12" ht="18" customHeight="1" x14ac:dyDescent="0.25">
      <c r="A568" s="26" t="s">
        <v>529</v>
      </c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</row>
    <row r="569" spans="1:12" x14ac:dyDescent="0.25">
      <c r="A569" s="7" t="s">
        <v>487</v>
      </c>
    </row>
    <row r="586" spans="1:12" ht="18" customHeight="1" x14ac:dyDescent="0.25">
      <c r="A586" s="26" t="s">
        <v>530</v>
      </c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</row>
    <row r="587" spans="1:12" x14ac:dyDescent="0.25">
      <c r="A587" s="7" t="s">
        <v>487</v>
      </c>
    </row>
    <row r="604" spans="1:12" ht="18" customHeight="1" x14ac:dyDescent="0.25">
      <c r="A604" s="26" t="s">
        <v>531</v>
      </c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</row>
    <row r="605" spans="1:12" x14ac:dyDescent="0.25">
      <c r="A605" s="7" t="s">
        <v>487</v>
      </c>
    </row>
    <row r="622" spans="1:12" ht="18" customHeight="1" x14ac:dyDescent="0.25">
      <c r="A622" s="26" t="s">
        <v>532</v>
      </c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</row>
    <row r="623" spans="1:12" x14ac:dyDescent="0.25">
      <c r="A623" s="7" t="s">
        <v>487</v>
      </c>
    </row>
    <row r="640" spans="1:12" ht="18" customHeight="1" x14ac:dyDescent="0.25">
      <c r="A640" s="26" t="s">
        <v>533</v>
      </c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</row>
    <row r="641" spans="1:1" x14ac:dyDescent="0.25">
      <c r="A641" s="7" t="s">
        <v>487</v>
      </c>
    </row>
    <row r="658" spans="1:12" ht="18" customHeight="1" x14ac:dyDescent="0.25">
      <c r="A658" s="26" t="s">
        <v>534</v>
      </c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</row>
    <row r="659" spans="1:12" x14ac:dyDescent="0.25">
      <c r="A659" s="7" t="s">
        <v>487</v>
      </c>
    </row>
    <row r="676" spans="1:12" ht="18" customHeight="1" x14ac:dyDescent="0.25">
      <c r="A676" s="26" t="s">
        <v>535</v>
      </c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</row>
    <row r="677" spans="1:12" x14ac:dyDescent="0.25">
      <c r="A677" s="7" t="s">
        <v>487</v>
      </c>
    </row>
    <row r="694" spans="1:12" ht="18" customHeight="1" x14ac:dyDescent="0.25">
      <c r="A694" s="26" t="s">
        <v>536</v>
      </c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</row>
    <row r="695" spans="1:12" x14ac:dyDescent="0.25">
      <c r="A695" s="7" t="s">
        <v>487</v>
      </c>
    </row>
    <row r="712" spans="1:12" ht="18" customHeight="1" x14ac:dyDescent="0.25">
      <c r="A712" s="26" t="s">
        <v>537</v>
      </c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</row>
    <row r="713" spans="1:12" x14ac:dyDescent="0.25">
      <c r="A713" s="7" t="s">
        <v>487</v>
      </c>
    </row>
    <row r="730" spans="1:12" ht="18" customHeight="1" x14ac:dyDescent="0.25">
      <c r="A730" s="26" t="s">
        <v>539</v>
      </c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</row>
    <row r="731" spans="1:12" x14ac:dyDescent="0.25">
      <c r="A731" s="7" t="s">
        <v>487</v>
      </c>
    </row>
    <row r="748" spans="1:12" ht="18" customHeight="1" x14ac:dyDescent="0.25">
      <c r="A748" s="26" t="s">
        <v>541</v>
      </c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</row>
    <row r="749" spans="1:12" x14ac:dyDescent="0.25">
      <c r="A749" s="7" t="s">
        <v>487</v>
      </c>
    </row>
    <row r="767" spans="1:12" ht="21.95" customHeight="1" x14ac:dyDescent="0.25">
      <c r="A767" s="25" t="s">
        <v>542</v>
      </c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</row>
    <row r="768" spans="1:12" x14ac:dyDescent="0.25">
      <c r="A768" s="7" t="s">
        <v>543</v>
      </c>
    </row>
    <row r="769" spans="1:6" x14ac:dyDescent="0.25">
      <c r="A769" s="8" t="s">
        <v>264</v>
      </c>
      <c r="B769" s="8" t="s">
        <v>118</v>
      </c>
      <c r="C769" s="8" t="s">
        <v>119</v>
      </c>
      <c r="D769" s="8" t="s">
        <v>120</v>
      </c>
      <c r="E769" s="8" t="s">
        <v>121</v>
      </c>
      <c r="F769" s="8" t="s">
        <v>123</v>
      </c>
    </row>
    <row r="770" spans="1:6" ht="20.100000000000001" customHeight="1" x14ac:dyDescent="0.25">
      <c r="A770" s="11" t="s">
        <v>50</v>
      </c>
      <c r="B770" s="9">
        <v>44121</v>
      </c>
      <c r="C770" s="10">
        <v>28</v>
      </c>
      <c r="D770" s="11" t="s">
        <v>202</v>
      </c>
      <c r="E770" s="11" t="s">
        <v>544</v>
      </c>
      <c r="F770" s="12" t="s">
        <v>258</v>
      </c>
    </row>
    <row r="771" spans="1:6" ht="20.100000000000001" customHeight="1" x14ac:dyDescent="0.25">
      <c r="A771" s="15" t="s">
        <v>68</v>
      </c>
      <c r="B771" s="13">
        <v>45805</v>
      </c>
      <c r="C771" s="14">
        <v>672</v>
      </c>
      <c r="D771" s="15" t="s">
        <v>291</v>
      </c>
      <c r="E771" s="15" t="s">
        <v>292</v>
      </c>
      <c r="F771" s="16" t="s">
        <v>193</v>
      </c>
    </row>
    <row r="772" spans="1:6" ht="20.100000000000001" customHeight="1" x14ac:dyDescent="0.25">
      <c r="A772" s="11" t="s">
        <v>545</v>
      </c>
      <c r="B772" s="9">
        <v>44623</v>
      </c>
      <c r="C772" s="10">
        <v>7.4930000000000003</v>
      </c>
      <c r="D772" s="11" t="s">
        <v>307</v>
      </c>
      <c r="E772" s="11" t="s">
        <v>546</v>
      </c>
      <c r="F772" s="12" t="s">
        <v>191</v>
      </c>
    </row>
    <row r="773" spans="1:6" ht="20.100000000000001" customHeight="1" x14ac:dyDescent="0.25">
      <c r="A773" s="15" t="s">
        <v>335</v>
      </c>
      <c r="B773" s="13">
        <v>44121</v>
      </c>
      <c r="C773" s="15" t="s">
        <v>336</v>
      </c>
      <c r="D773" s="15"/>
      <c r="E773" s="15" t="s">
        <v>547</v>
      </c>
      <c r="F773" s="16" t="s">
        <v>185</v>
      </c>
    </row>
    <row r="774" spans="1:6" ht="20.100000000000001" customHeight="1" x14ac:dyDescent="0.25">
      <c r="A774" s="11" t="s">
        <v>337</v>
      </c>
      <c r="B774" s="9">
        <v>44306</v>
      </c>
      <c r="C774" s="11" t="s">
        <v>338</v>
      </c>
      <c r="D774" s="11"/>
      <c r="E774" s="11" t="s">
        <v>548</v>
      </c>
      <c r="F774" s="12" t="s">
        <v>127</v>
      </c>
    </row>
    <row r="775" spans="1:6" ht="20.100000000000001" customHeight="1" x14ac:dyDescent="0.25">
      <c r="A775" s="15" t="s">
        <v>339</v>
      </c>
      <c r="B775" s="13">
        <v>44306</v>
      </c>
      <c r="C775" s="15" t="s">
        <v>340</v>
      </c>
      <c r="D775" s="15"/>
      <c r="E775" s="15" t="s">
        <v>549</v>
      </c>
      <c r="F775" s="16" t="s">
        <v>127</v>
      </c>
    </row>
    <row r="776" spans="1:6" ht="20.100000000000001" customHeight="1" x14ac:dyDescent="0.25">
      <c r="A776" s="11" t="s">
        <v>341</v>
      </c>
      <c r="B776" s="9">
        <v>44306</v>
      </c>
      <c r="C776" s="11" t="s">
        <v>342</v>
      </c>
      <c r="D776" s="11"/>
      <c r="E776" s="11" t="s">
        <v>550</v>
      </c>
      <c r="F776" s="12" t="s">
        <v>127</v>
      </c>
    </row>
    <row r="777" spans="1:6" ht="20.100000000000001" customHeight="1" x14ac:dyDescent="0.25">
      <c r="A777" s="15" t="s">
        <v>343</v>
      </c>
      <c r="B777" s="13">
        <v>44306</v>
      </c>
      <c r="C777" s="15" t="s">
        <v>344</v>
      </c>
      <c r="D777" s="15"/>
      <c r="E777" s="15" t="s">
        <v>551</v>
      </c>
      <c r="F777" s="16" t="s">
        <v>127</v>
      </c>
    </row>
    <row r="778" spans="1:6" ht="20.100000000000001" customHeight="1" x14ac:dyDescent="0.25">
      <c r="A778" s="11" t="s">
        <v>346</v>
      </c>
      <c r="B778" s="9">
        <v>44623</v>
      </c>
      <c r="C778" s="11" t="s">
        <v>347</v>
      </c>
      <c r="D778" s="11"/>
      <c r="E778" s="11" t="s">
        <v>552</v>
      </c>
      <c r="F778" s="12" t="s">
        <v>191</v>
      </c>
    </row>
    <row r="779" spans="1:6" ht="20.100000000000001" customHeight="1" x14ac:dyDescent="0.25">
      <c r="A779" s="15" t="s">
        <v>348</v>
      </c>
      <c r="B779" s="13">
        <v>45580</v>
      </c>
      <c r="C779" s="15" t="s">
        <v>349</v>
      </c>
      <c r="D779" s="15"/>
      <c r="E779" s="15" t="s">
        <v>553</v>
      </c>
      <c r="F779" s="16" t="s">
        <v>132</v>
      </c>
    </row>
    <row r="780" spans="1:6" ht="20.100000000000001" customHeight="1" x14ac:dyDescent="0.25">
      <c r="A780" s="11" t="s">
        <v>351</v>
      </c>
      <c r="B780" s="9">
        <v>45580</v>
      </c>
      <c r="C780" s="11" t="s">
        <v>352</v>
      </c>
      <c r="D780" s="11"/>
      <c r="E780" s="11" t="s">
        <v>554</v>
      </c>
      <c r="F780" s="12" t="s">
        <v>132</v>
      </c>
    </row>
    <row r="781" spans="1:6" ht="20.100000000000001" customHeight="1" x14ac:dyDescent="0.25">
      <c r="A781" s="15" t="s">
        <v>353</v>
      </c>
      <c r="B781" s="13">
        <v>45580</v>
      </c>
      <c r="C781" s="15" t="s">
        <v>354</v>
      </c>
      <c r="D781" s="15"/>
      <c r="E781" s="15" t="s">
        <v>555</v>
      </c>
      <c r="F781" s="16" t="s">
        <v>132</v>
      </c>
    </row>
    <row r="782" spans="1:6" ht="20.100000000000001" customHeight="1" x14ac:dyDescent="0.25">
      <c r="A782" s="11" t="s">
        <v>355</v>
      </c>
      <c r="B782" s="9">
        <v>45580</v>
      </c>
      <c r="C782" s="11" t="s">
        <v>356</v>
      </c>
      <c r="D782" s="11"/>
      <c r="E782" s="11" t="s">
        <v>556</v>
      </c>
      <c r="F782" s="12" t="s">
        <v>132</v>
      </c>
    </row>
    <row r="783" spans="1:6" ht="20.100000000000001" customHeight="1" x14ac:dyDescent="0.25">
      <c r="A783" s="15" t="s">
        <v>357</v>
      </c>
      <c r="B783" s="13">
        <v>45580</v>
      </c>
      <c r="C783" s="15" t="s">
        <v>358</v>
      </c>
      <c r="D783" s="15"/>
      <c r="E783" s="15" t="s">
        <v>556</v>
      </c>
      <c r="F783" s="16" t="s">
        <v>132</v>
      </c>
    </row>
    <row r="784" spans="1:6" ht="20.100000000000001" customHeight="1" x14ac:dyDescent="0.25">
      <c r="A784" s="11" t="s">
        <v>359</v>
      </c>
      <c r="B784" s="9">
        <v>45580</v>
      </c>
      <c r="C784" s="11" t="s">
        <v>360</v>
      </c>
      <c r="D784" s="11"/>
      <c r="E784" s="11" t="s">
        <v>557</v>
      </c>
      <c r="F784" s="12" t="s">
        <v>132</v>
      </c>
    </row>
    <row r="785" spans="1:6" ht="20.100000000000001" customHeight="1" x14ac:dyDescent="0.25">
      <c r="A785" s="15" t="s">
        <v>361</v>
      </c>
      <c r="B785" s="13">
        <v>45580</v>
      </c>
      <c r="C785" s="15" t="s">
        <v>362</v>
      </c>
      <c r="D785" s="15"/>
      <c r="E785" s="15" t="s">
        <v>558</v>
      </c>
      <c r="F785" s="16" t="s">
        <v>132</v>
      </c>
    </row>
    <row r="786" spans="1:6" ht="20.100000000000001" customHeight="1" x14ac:dyDescent="0.25">
      <c r="A786" s="11" t="s">
        <v>363</v>
      </c>
      <c r="B786" s="9">
        <v>45580</v>
      </c>
      <c r="C786" s="11" t="s">
        <v>364</v>
      </c>
      <c r="D786" s="11"/>
      <c r="E786" s="11" t="s">
        <v>559</v>
      </c>
      <c r="F786" s="12" t="s">
        <v>132</v>
      </c>
    </row>
    <row r="787" spans="1:6" ht="20.100000000000001" customHeight="1" x14ac:dyDescent="0.25">
      <c r="A787" s="15" t="s">
        <v>365</v>
      </c>
      <c r="B787" s="13">
        <v>45580</v>
      </c>
      <c r="C787" s="15" t="s">
        <v>366</v>
      </c>
      <c r="D787" s="15"/>
      <c r="E787" s="15" t="s">
        <v>560</v>
      </c>
      <c r="F787" s="16" t="s">
        <v>132</v>
      </c>
    </row>
    <row r="788" spans="1:6" ht="20.100000000000001" customHeight="1" x14ac:dyDescent="0.25">
      <c r="A788" s="11" t="s">
        <v>368</v>
      </c>
      <c r="B788" s="9">
        <v>45805</v>
      </c>
      <c r="C788" s="11" t="s">
        <v>369</v>
      </c>
      <c r="D788" s="11"/>
      <c r="E788" s="11" t="s">
        <v>561</v>
      </c>
      <c r="F788" s="12" t="s">
        <v>193</v>
      </c>
    </row>
    <row r="789" spans="1:6" ht="20.100000000000001" customHeight="1" x14ac:dyDescent="0.25">
      <c r="A789" s="15" t="s">
        <v>370</v>
      </c>
      <c r="B789" s="13">
        <v>45805</v>
      </c>
      <c r="C789" s="15" t="s">
        <v>371</v>
      </c>
      <c r="D789" s="15"/>
      <c r="E789" s="15" t="s">
        <v>562</v>
      </c>
      <c r="F789" s="16" t="s">
        <v>193</v>
      </c>
    </row>
    <row r="790" spans="1:6" ht="20.100000000000001" customHeight="1" x14ac:dyDescent="0.25">
      <c r="A790" s="11" t="s">
        <v>372</v>
      </c>
      <c r="B790" s="9">
        <v>45805</v>
      </c>
      <c r="C790" s="11" t="s">
        <v>373</v>
      </c>
      <c r="D790" s="11"/>
      <c r="E790" s="11" t="s">
        <v>563</v>
      </c>
      <c r="F790" s="12" t="s">
        <v>193</v>
      </c>
    </row>
    <row r="791" spans="1:6" ht="20.100000000000001" customHeight="1" x14ac:dyDescent="0.25">
      <c r="A791" s="15" t="s">
        <v>374</v>
      </c>
      <c r="B791" s="13">
        <v>45805</v>
      </c>
      <c r="C791" s="15" t="s">
        <v>375</v>
      </c>
      <c r="D791" s="15"/>
      <c r="E791" s="15" t="s">
        <v>564</v>
      </c>
      <c r="F791" s="16" t="s">
        <v>193</v>
      </c>
    </row>
    <row r="792" spans="1:6" ht="20.100000000000001" customHeight="1" x14ac:dyDescent="0.25">
      <c r="A792" s="11" t="s">
        <v>376</v>
      </c>
      <c r="B792" s="9">
        <v>45805</v>
      </c>
      <c r="C792" s="11" t="s">
        <v>377</v>
      </c>
      <c r="D792" s="11"/>
      <c r="E792" s="11" t="s">
        <v>565</v>
      </c>
      <c r="F792" s="12" t="s">
        <v>193</v>
      </c>
    </row>
    <row r="793" spans="1:6" ht="20.100000000000001" customHeight="1" x14ac:dyDescent="0.25">
      <c r="A793" s="15" t="s">
        <v>378</v>
      </c>
      <c r="B793" s="13">
        <v>45866</v>
      </c>
      <c r="C793" s="15" t="s">
        <v>379</v>
      </c>
      <c r="D793" s="15"/>
      <c r="E793" s="15" t="s">
        <v>566</v>
      </c>
      <c r="F793" s="16" t="s">
        <v>134</v>
      </c>
    </row>
    <row r="794" spans="1:6" ht="20.100000000000001" customHeight="1" x14ac:dyDescent="0.25">
      <c r="A794" s="11" t="s">
        <v>380</v>
      </c>
      <c r="B794" s="9">
        <v>45866</v>
      </c>
      <c r="C794" s="11" t="s">
        <v>381</v>
      </c>
      <c r="D794" s="11"/>
      <c r="E794" s="11" t="s">
        <v>567</v>
      </c>
      <c r="F794" s="12" t="s">
        <v>134</v>
      </c>
    </row>
    <row r="795" spans="1:6" ht="20.100000000000001" customHeight="1" x14ac:dyDescent="0.25">
      <c r="A795" s="15" t="s">
        <v>382</v>
      </c>
      <c r="B795" s="13">
        <v>45866</v>
      </c>
      <c r="C795" s="15" t="s">
        <v>383</v>
      </c>
      <c r="D795" s="15"/>
      <c r="E795" s="15" t="s">
        <v>568</v>
      </c>
      <c r="F795" s="16" t="s">
        <v>134</v>
      </c>
    </row>
    <row r="796" spans="1:6" ht="20.100000000000001" customHeight="1" x14ac:dyDescent="0.25">
      <c r="A796" s="11" t="s">
        <v>385</v>
      </c>
      <c r="B796" s="9">
        <v>46246</v>
      </c>
      <c r="C796" s="11" t="s">
        <v>386</v>
      </c>
      <c r="D796" s="11"/>
      <c r="E796" s="11" t="s">
        <v>569</v>
      </c>
      <c r="F796" s="12" t="s">
        <v>144</v>
      </c>
    </row>
    <row r="797" spans="1:6" ht="20.100000000000001" customHeight="1" x14ac:dyDescent="0.25">
      <c r="A797" s="15" t="s">
        <v>387</v>
      </c>
      <c r="B797" s="13">
        <v>46246</v>
      </c>
      <c r="C797" s="15" t="s">
        <v>388</v>
      </c>
      <c r="D797" s="15"/>
      <c r="E797" s="15" t="s">
        <v>570</v>
      </c>
      <c r="F797" s="16" t="s">
        <v>144</v>
      </c>
    </row>
  </sheetData>
  <mergeCells count="51">
    <mergeCell ref="A767:L767"/>
    <mergeCell ref="A676:L676"/>
    <mergeCell ref="A694:L694"/>
    <mergeCell ref="A712:L712"/>
    <mergeCell ref="A730:L730"/>
    <mergeCell ref="A748:L748"/>
    <mergeCell ref="A586:L586"/>
    <mergeCell ref="A604:L604"/>
    <mergeCell ref="A622:L622"/>
    <mergeCell ref="A640:L640"/>
    <mergeCell ref="A658:L658"/>
    <mergeCell ref="A513:L513"/>
    <mergeCell ref="A531:L531"/>
    <mergeCell ref="A532:L532"/>
    <mergeCell ref="A550:L550"/>
    <mergeCell ref="A568:L568"/>
    <mergeCell ref="A440:L440"/>
    <mergeCell ref="A441:L441"/>
    <mergeCell ref="A459:L459"/>
    <mergeCell ref="A477:L477"/>
    <mergeCell ref="A495:L495"/>
    <mergeCell ref="A350:L350"/>
    <mergeCell ref="A368:L368"/>
    <mergeCell ref="A386:L386"/>
    <mergeCell ref="A404:L404"/>
    <mergeCell ref="A422:L422"/>
    <mergeCell ref="A260:L260"/>
    <mergeCell ref="A278:L278"/>
    <mergeCell ref="A296:L296"/>
    <mergeCell ref="A314:L314"/>
    <mergeCell ref="A332:L332"/>
    <mergeCell ref="A170:L170"/>
    <mergeCell ref="A188:L188"/>
    <mergeCell ref="A206:L206"/>
    <mergeCell ref="A224:L224"/>
    <mergeCell ref="A242:L242"/>
    <mergeCell ref="A114:L114"/>
    <mergeCell ref="A132:L132"/>
    <mergeCell ref="A133:L133"/>
    <mergeCell ref="A151:L151"/>
    <mergeCell ref="A169:L169"/>
    <mergeCell ref="A41:L41"/>
    <mergeCell ref="A59:L59"/>
    <mergeCell ref="A77:L77"/>
    <mergeCell ref="A95:L95"/>
    <mergeCell ref="A113:L113"/>
    <mergeCell ref="A1:L1"/>
    <mergeCell ref="A2:L2"/>
    <mergeCell ref="A4:L4"/>
    <mergeCell ref="A5:L5"/>
    <mergeCell ref="A23:L23"/>
  </mergeCells>
  <pageMargins left="0.4" right="0.4" top="0.45" bottom="0.45" header="0.3" footer="0.3"/>
  <pageSetup paperSize="9" fitToHeight="0" orientation="landscape"/>
  <headerFooter>
    <oddHeader>&amp;CCecília — gráficos × faixa do laudo</oddHeader>
    <oddFooter>&amp;LBarra = faixa naquela data  ·  verde dentro  ·  vermelho fora&amp;R&amp;P / 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117A65"/>
    <pageSetUpPr fitToPage="1"/>
  </sheetPr>
  <dimension ref="A1:L797"/>
  <sheetViews>
    <sheetView showGridLines="0" workbookViewId="0"/>
  </sheetViews>
  <sheetFormatPr defaultRowHeight="15" x14ac:dyDescent="0.25"/>
  <cols>
    <col min="1" max="12" width="10.7109375" customWidth="1"/>
  </cols>
  <sheetData>
    <row r="1" spans="1:12" ht="21.95" customHeight="1" x14ac:dyDescent="0.25">
      <c r="A1" s="22" t="s">
        <v>478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ht="32.1" customHeight="1" x14ac:dyDescent="0.25">
      <c r="A2" s="23" t="s">
        <v>479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4" spans="1:12" ht="20.100000000000001" hidden="1" customHeight="1" x14ac:dyDescent="0.25">
      <c r="A4" s="25" t="s">
        <v>8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</row>
    <row r="5" spans="1:12" ht="18" hidden="1" customHeight="1" x14ac:dyDescent="0.25">
      <c r="A5" s="26" t="s">
        <v>486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 hidden="1" x14ac:dyDescent="0.25">
      <c r="A6" s="7" t="s">
        <v>487</v>
      </c>
    </row>
    <row r="7" spans="1:12" hidden="1" x14ac:dyDescent="0.25"/>
    <row r="8" spans="1:12" hidden="1" x14ac:dyDescent="0.25"/>
    <row r="9" spans="1:12" hidden="1" x14ac:dyDescent="0.25"/>
    <row r="10" spans="1:12" hidden="1" x14ac:dyDescent="0.25"/>
    <row r="11" spans="1:12" hidden="1" x14ac:dyDescent="0.25"/>
    <row r="12" spans="1:12" hidden="1" x14ac:dyDescent="0.25"/>
    <row r="13" spans="1:12" hidden="1" x14ac:dyDescent="0.25"/>
    <row r="14" spans="1:12" hidden="1" x14ac:dyDescent="0.25"/>
    <row r="15" spans="1:12" hidden="1" x14ac:dyDescent="0.25"/>
    <row r="16" spans="1:12" hidden="1" x14ac:dyDescent="0.25"/>
    <row r="17" spans="1:12" hidden="1" x14ac:dyDescent="0.25"/>
    <row r="18" spans="1:12" hidden="1" x14ac:dyDescent="0.25"/>
    <row r="19" spans="1:12" hidden="1" x14ac:dyDescent="0.25"/>
    <row r="20" spans="1:12" hidden="1" x14ac:dyDescent="0.25"/>
    <row r="21" spans="1:12" hidden="1" x14ac:dyDescent="0.25"/>
    <row r="22" spans="1:12" hidden="1" x14ac:dyDescent="0.25"/>
    <row r="23" spans="1:12" ht="18" hidden="1" customHeight="1" x14ac:dyDescent="0.25">
      <c r="A23" s="26" t="s">
        <v>488</v>
      </c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hidden="1" x14ac:dyDescent="0.25">
      <c r="A24" s="7" t="s">
        <v>489</v>
      </c>
    </row>
    <row r="25" spans="1:12" hidden="1" x14ac:dyDescent="0.25"/>
    <row r="26" spans="1:12" hidden="1" x14ac:dyDescent="0.25"/>
    <row r="27" spans="1:12" hidden="1" x14ac:dyDescent="0.25"/>
    <row r="28" spans="1:12" hidden="1" x14ac:dyDescent="0.25"/>
    <row r="29" spans="1:12" hidden="1" x14ac:dyDescent="0.25"/>
    <row r="30" spans="1:12" hidden="1" x14ac:dyDescent="0.25"/>
    <row r="31" spans="1:12" hidden="1" x14ac:dyDescent="0.25"/>
    <row r="32" spans="1:12" hidden="1" x14ac:dyDescent="0.25"/>
    <row r="33" spans="1:12" hidden="1" x14ac:dyDescent="0.25"/>
    <row r="34" spans="1:12" hidden="1" x14ac:dyDescent="0.25"/>
    <row r="35" spans="1:12" hidden="1" x14ac:dyDescent="0.25"/>
    <row r="36" spans="1:12" hidden="1" x14ac:dyDescent="0.25"/>
    <row r="37" spans="1:12" hidden="1" x14ac:dyDescent="0.25"/>
    <row r="38" spans="1:12" hidden="1" x14ac:dyDescent="0.25"/>
    <row r="39" spans="1:12" hidden="1" x14ac:dyDescent="0.25"/>
    <row r="40" spans="1:12" hidden="1" x14ac:dyDescent="0.25"/>
    <row r="41" spans="1:12" ht="18" hidden="1" customHeight="1" x14ac:dyDescent="0.25">
      <c r="A41" s="26" t="s">
        <v>490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</row>
    <row r="42" spans="1:12" hidden="1" x14ac:dyDescent="0.25">
      <c r="A42" s="7" t="s">
        <v>489</v>
      </c>
    </row>
    <row r="43" spans="1:12" hidden="1" x14ac:dyDescent="0.25"/>
    <row r="44" spans="1:12" hidden="1" x14ac:dyDescent="0.25"/>
    <row r="45" spans="1:12" hidden="1" x14ac:dyDescent="0.25"/>
    <row r="46" spans="1:12" hidden="1" x14ac:dyDescent="0.25"/>
    <row r="47" spans="1:12" hidden="1" x14ac:dyDescent="0.25"/>
    <row r="48" spans="1:12" hidden="1" x14ac:dyDescent="0.25"/>
    <row r="49" spans="1:12" hidden="1" x14ac:dyDescent="0.25"/>
    <row r="50" spans="1:12" hidden="1" x14ac:dyDescent="0.25"/>
    <row r="51" spans="1:12" hidden="1" x14ac:dyDescent="0.25"/>
    <row r="52" spans="1:12" hidden="1" x14ac:dyDescent="0.25"/>
    <row r="53" spans="1:12" hidden="1" x14ac:dyDescent="0.25"/>
    <row r="54" spans="1:12" hidden="1" x14ac:dyDescent="0.25"/>
    <row r="55" spans="1:12" hidden="1" x14ac:dyDescent="0.25"/>
    <row r="56" spans="1:12" hidden="1" x14ac:dyDescent="0.25"/>
    <row r="57" spans="1:12" hidden="1" x14ac:dyDescent="0.25"/>
    <row r="58" spans="1:12" hidden="1" x14ac:dyDescent="0.25"/>
    <row r="59" spans="1:12" ht="18" hidden="1" customHeight="1" x14ac:dyDescent="0.25">
      <c r="A59" s="26" t="s">
        <v>492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</row>
    <row r="60" spans="1:12" hidden="1" x14ac:dyDescent="0.25">
      <c r="A60" s="7" t="s">
        <v>493</v>
      </c>
    </row>
    <row r="61" spans="1:12" hidden="1" x14ac:dyDescent="0.25"/>
    <row r="62" spans="1:12" hidden="1" x14ac:dyDescent="0.25"/>
    <row r="63" spans="1:12" hidden="1" x14ac:dyDescent="0.25"/>
    <row r="64" spans="1:12" hidden="1" x14ac:dyDescent="0.25"/>
    <row r="65" spans="1:12" hidden="1" x14ac:dyDescent="0.25"/>
    <row r="66" spans="1:12" hidden="1" x14ac:dyDescent="0.25"/>
    <row r="67" spans="1:12" hidden="1" x14ac:dyDescent="0.25"/>
    <row r="68" spans="1:12" hidden="1" x14ac:dyDescent="0.25"/>
    <row r="69" spans="1:12" hidden="1" x14ac:dyDescent="0.25"/>
    <row r="70" spans="1:12" hidden="1" x14ac:dyDescent="0.25"/>
    <row r="71" spans="1:12" hidden="1" x14ac:dyDescent="0.25"/>
    <row r="72" spans="1:12" hidden="1" x14ac:dyDescent="0.25"/>
    <row r="73" spans="1:12" hidden="1" x14ac:dyDescent="0.25"/>
    <row r="74" spans="1:12" hidden="1" x14ac:dyDescent="0.25"/>
    <row r="75" spans="1:12" hidden="1" x14ac:dyDescent="0.25"/>
    <row r="76" spans="1:12" hidden="1" x14ac:dyDescent="0.25"/>
    <row r="77" spans="1:12" ht="18" hidden="1" customHeight="1" x14ac:dyDescent="0.25">
      <c r="A77" s="26" t="s">
        <v>495</v>
      </c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</row>
    <row r="78" spans="1:12" hidden="1" x14ac:dyDescent="0.25">
      <c r="A78" s="7" t="s">
        <v>496</v>
      </c>
    </row>
    <row r="79" spans="1:12" hidden="1" x14ac:dyDescent="0.25"/>
    <row r="80" spans="1:12" hidden="1" x14ac:dyDescent="0.25"/>
    <row r="81" spans="1:12" hidden="1" x14ac:dyDescent="0.25"/>
    <row r="82" spans="1:12" hidden="1" x14ac:dyDescent="0.25"/>
    <row r="83" spans="1:12" hidden="1" x14ac:dyDescent="0.25"/>
    <row r="84" spans="1:12" hidden="1" x14ac:dyDescent="0.25"/>
    <row r="85" spans="1:12" hidden="1" x14ac:dyDescent="0.25"/>
    <row r="86" spans="1:12" hidden="1" x14ac:dyDescent="0.25"/>
    <row r="87" spans="1:12" hidden="1" x14ac:dyDescent="0.25"/>
    <row r="88" spans="1:12" hidden="1" x14ac:dyDescent="0.25"/>
    <row r="89" spans="1:12" hidden="1" x14ac:dyDescent="0.25"/>
    <row r="90" spans="1:12" hidden="1" x14ac:dyDescent="0.25"/>
    <row r="91" spans="1:12" hidden="1" x14ac:dyDescent="0.25"/>
    <row r="92" spans="1:12" hidden="1" x14ac:dyDescent="0.25"/>
    <row r="93" spans="1:12" hidden="1" x14ac:dyDescent="0.25"/>
    <row r="94" spans="1:12" hidden="1" x14ac:dyDescent="0.25"/>
    <row r="95" spans="1:12" ht="18" hidden="1" customHeight="1" x14ac:dyDescent="0.25">
      <c r="A95" s="26" t="s">
        <v>498</v>
      </c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</row>
    <row r="96" spans="1:12" hidden="1" x14ac:dyDescent="0.25">
      <c r="A96" s="7" t="s">
        <v>499</v>
      </c>
    </row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spans="1:12" ht="20.100000000000001" hidden="1" customHeight="1" x14ac:dyDescent="0.25">
      <c r="A113" s="25" t="s">
        <v>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</row>
    <row r="114" spans="1:12" ht="18" hidden="1" customHeight="1" x14ac:dyDescent="0.25">
      <c r="A114" s="26" t="s">
        <v>500</v>
      </c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</row>
    <row r="115" spans="1:12" hidden="1" x14ac:dyDescent="0.25">
      <c r="A115" s="7" t="s">
        <v>501</v>
      </c>
    </row>
    <row r="116" spans="1:12" hidden="1" x14ac:dyDescent="0.25"/>
    <row r="117" spans="1:12" hidden="1" x14ac:dyDescent="0.25"/>
    <row r="118" spans="1:12" hidden="1" x14ac:dyDescent="0.25"/>
    <row r="119" spans="1:12" hidden="1" x14ac:dyDescent="0.25"/>
    <row r="120" spans="1:12" hidden="1" x14ac:dyDescent="0.25"/>
    <row r="121" spans="1:12" hidden="1" x14ac:dyDescent="0.25"/>
    <row r="122" spans="1:12" hidden="1" x14ac:dyDescent="0.25"/>
    <row r="123" spans="1:12" hidden="1" x14ac:dyDescent="0.25"/>
    <row r="124" spans="1:12" hidden="1" x14ac:dyDescent="0.25"/>
    <row r="125" spans="1:12" hidden="1" x14ac:dyDescent="0.25"/>
    <row r="126" spans="1:12" hidden="1" x14ac:dyDescent="0.25"/>
    <row r="127" spans="1:12" hidden="1" x14ac:dyDescent="0.25"/>
    <row r="128" spans="1:12" hidden="1" x14ac:dyDescent="0.25"/>
    <row r="129" spans="1:12" hidden="1" x14ac:dyDescent="0.25"/>
    <row r="130" spans="1:12" hidden="1" x14ac:dyDescent="0.25"/>
    <row r="131" spans="1:12" hidden="1" x14ac:dyDescent="0.25"/>
    <row r="132" spans="1:12" ht="20.100000000000001" hidden="1" customHeight="1" x14ac:dyDescent="0.25">
      <c r="A132" s="25" t="s">
        <v>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</row>
    <row r="133" spans="1:12" ht="18" hidden="1" customHeight="1" x14ac:dyDescent="0.25">
      <c r="A133" s="26" t="s">
        <v>502</v>
      </c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</row>
    <row r="134" spans="1:12" hidden="1" x14ac:dyDescent="0.25">
      <c r="A134" s="7" t="s">
        <v>487</v>
      </c>
    </row>
    <row r="135" spans="1:12" hidden="1" x14ac:dyDescent="0.25"/>
    <row r="136" spans="1:12" hidden="1" x14ac:dyDescent="0.25"/>
    <row r="137" spans="1:12" hidden="1" x14ac:dyDescent="0.25"/>
    <row r="138" spans="1:12" hidden="1" x14ac:dyDescent="0.25"/>
    <row r="139" spans="1:12" hidden="1" x14ac:dyDescent="0.25"/>
    <row r="140" spans="1:12" hidden="1" x14ac:dyDescent="0.25"/>
    <row r="141" spans="1:12" hidden="1" x14ac:dyDescent="0.25"/>
    <row r="142" spans="1:12" hidden="1" x14ac:dyDescent="0.25"/>
    <row r="143" spans="1:12" hidden="1" x14ac:dyDescent="0.25"/>
    <row r="144" spans="1:12" hidden="1" x14ac:dyDescent="0.25"/>
    <row r="145" spans="1:12" hidden="1" x14ac:dyDescent="0.25"/>
    <row r="146" spans="1:12" hidden="1" x14ac:dyDescent="0.25"/>
    <row r="147" spans="1:12" hidden="1" x14ac:dyDescent="0.25"/>
    <row r="148" spans="1:12" hidden="1" x14ac:dyDescent="0.25"/>
    <row r="149" spans="1:12" hidden="1" x14ac:dyDescent="0.25"/>
    <row r="150" spans="1:12" hidden="1" x14ac:dyDescent="0.25"/>
    <row r="151" spans="1:12" ht="18" hidden="1" customHeight="1" x14ac:dyDescent="0.25">
      <c r="A151" s="26" t="s">
        <v>503</v>
      </c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</row>
    <row r="152" spans="1:12" hidden="1" x14ac:dyDescent="0.25">
      <c r="A152" s="7" t="s">
        <v>487</v>
      </c>
    </row>
    <row r="153" spans="1:12" hidden="1" x14ac:dyDescent="0.25"/>
    <row r="154" spans="1:12" hidden="1" x14ac:dyDescent="0.25"/>
    <row r="155" spans="1:12" hidden="1" x14ac:dyDescent="0.25"/>
    <row r="156" spans="1:12" hidden="1" x14ac:dyDescent="0.25"/>
    <row r="157" spans="1:12" hidden="1" x14ac:dyDescent="0.25"/>
    <row r="158" spans="1:12" hidden="1" x14ac:dyDescent="0.25"/>
    <row r="159" spans="1:12" hidden="1" x14ac:dyDescent="0.25"/>
    <row r="160" spans="1:12" hidden="1" x14ac:dyDescent="0.25"/>
    <row r="161" spans="1:12" hidden="1" x14ac:dyDescent="0.25"/>
    <row r="162" spans="1:12" hidden="1" x14ac:dyDescent="0.25"/>
    <row r="163" spans="1:12" hidden="1" x14ac:dyDescent="0.25"/>
    <row r="164" spans="1:12" hidden="1" x14ac:dyDescent="0.25"/>
    <row r="165" spans="1:12" hidden="1" x14ac:dyDescent="0.25"/>
    <row r="166" spans="1:12" hidden="1" x14ac:dyDescent="0.25"/>
    <row r="167" spans="1:12" hidden="1" x14ac:dyDescent="0.25"/>
    <row r="168" spans="1:12" hidden="1" x14ac:dyDescent="0.25"/>
    <row r="169" spans="1:12" ht="20.100000000000001" hidden="1" customHeight="1" x14ac:dyDescent="0.25">
      <c r="A169" s="25" t="s">
        <v>25</v>
      </c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</row>
    <row r="170" spans="1:12" ht="18" hidden="1" customHeight="1" x14ac:dyDescent="0.25">
      <c r="A170" s="26" t="s">
        <v>504</v>
      </c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</row>
    <row r="171" spans="1:12" hidden="1" x14ac:dyDescent="0.25">
      <c r="A171" s="7" t="s">
        <v>487</v>
      </c>
    </row>
    <row r="172" spans="1:12" hidden="1" x14ac:dyDescent="0.25"/>
    <row r="173" spans="1:12" hidden="1" x14ac:dyDescent="0.25"/>
    <row r="174" spans="1:12" hidden="1" x14ac:dyDescent="0.25"/>
    <row r="175" spans="1:12" hidden="1" x14ac:dyDescent="0.25"/>
    <row r="176" spans="1:12" hidden="1" x14ac:dyDescent="0.25"/>
    <row r="177" spans="1:12" hidden="1" x14ac:dyDescent="0.25"/>
    <row r="178" spans="1:12" hidden="1" x14ac:dyDescent="0.25"/>
    <row r="179" spans="1:12" hidden="1" x14ac:dyDescent="0.25"/>
    <row r="180" spans="1:12" hidden="1" x14ac:dyDescent="0.25"/>
    <row r="181" spans="1:12" hidden="1" x14ac:dyDescent="0.25"/>
    <row r="182" spans="1:12" hidden="1" x14ac:dyDescent="0.25"/>
    <row r="183" spans="1:12" hidden="1" x14ac:dyDescent="0.25"/>
    <row r="184" spans="1:12" hidden="1" x14ac:dyDescent="0.25"/>
    <row r="185" spans="1:12" hidden="1" x14ac:dyDescent="0.25"/>
    <row r="186" spans="1:12" hidden="1" x14ac:dyDescent="0.25"/>
    <row r="187" spans="1:12" hidden="1" x14ac:dyDescent="0.25"/>
    <row r="188" spans="1:12" ht="18" hidden="1" customHeight="1" x14ac:dyDescent="0.25">
      <c r="A188" s="26" t="s">
        <v>505</v>
      </c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</row>
    <row r="189" spans="1:12" hidden="1" x14ac:dyDescent="0.25">
      <c r="A189" s="7" t="s">
        <v>487</v>
      </c>
    </row>
    <row r="190" spans="1:12" hidden="1" x14ac:dyDescent="0.25"/>
    <row r="191" spans="1:12" hidden="1" x14ac:dyDescent="0.25"/>
    <row r="192" spans="1:12" hidden="1" x14ac:dyDescent="0.25"/>
    <row r="193" spans="1:12" hidden="1" x14ac:dyDescent="0.25"/>
    <row r="194" spans="1:12" hidden="1" x14ac:dyDescent="0.25"/>
    <row r="195" spans="1:12" hidden="1" x14ac:dyDescent="0.25"/>
    <row r="196" spans="1:12" hidden="1" x14ac:dyDescent="0.25"/>
    <row r="197" spans="1:12" hidden="1" x14ac:dyDescent="0.25"/>
    <row r="198" spans="1:12" hidden="1" x14ac:dyDescent="0.25"/>
    <row r="199" spans="1:12" hidden="1" x14ac:dyDescent="0.25"/>
    <row r="200" spans="1:12" hidden="1" x14ac:dyDescent="0.25"/>
    <row r="201" spans="1:12" hidden="1" x14ac:dyDescent="0.25"/>
    <row r="202" spans="1:12" hidden="1" x14ac:dyDescent="0.25"/>
    <row r="203" spans="1:12" hidden="1" x14ac:dyDescent="0.25"/>
    <row r="204" spans="1:12" hidden="1" x14ac:dyDescent="0.25"/>
    <row r="205" spans="1:12" hidden="1" x14ac:dyDescent="0.25"/>
    <row r="206" spans="1:12" ht="18" hidden="1" customHeight="1" x14ac:dyDescent="0.25">
      <c r="A206" s="26" t="s">
        <v>506</v>
      </c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</row>
    <row r="207" spans="1:12" hidden="1" x14ac:dyDescent="0.25">
      <c r="A207" s="7" t="s">
        <v>487</v>
      </c>
    </row>
    <row r="208" spans="1:12" hidden="1" x14ac:dyDescent="0.25"/>
    <row r="209" spans="1:12" hidden="1" x14ac:dyDescent="0.25"/>
    <row r="210" spans="1:12" hidden="1" x14ac:dyDescent="0.25"/>
    <row r="211" spans="1:12" hidden="1" x14ac:dyDescent="0.25"/>
    <row r="212" spans="1:12" hidden="1" x14ac:dyDescent="0.25"/>
    <row r="213" spans="1:12" hidden="1" x14ac:dyDescent="0.25"/>
    <row r="214" spans="1:12" hidden="1" x14ac:dyDescent="0.25"/>
    <row r="215" spans="1:12" hidden="1" x14ac:dyDescent="0.25"/>
    <row r="216" spans="1:12" hidden="1" x14ac:dyDescent="0.25"/>
    <row r="217" spans="1:12" hidden="1" x14ac:dyDescent="0.25"/>
    <row r="218" spans="1:12" hidden="1" x14ac:dyDescent="0.25"/>
    <row r="219" spans="1:12" hidden="1" x14ac:dyDescent="0.25"/>
    <row r="220" spans="1:12" hidden="1" x14ac:dyDescent="0.25"/>
    <row r="221" spans="1:12" hidden="1" x14ac:dyDescent="0.25"/>
    <row r="222" spans="1:12" hidden="1" x14ac:dyDescent="0.25"/>
    <row r="223" spans="1:12" hidden="1" x14ac:dyDescent="0.25"/>
    <row r="224" spans="1:12" ht="18" hidden="1" customHeight="1" x14ac:dyDescent="0.25">
      <c r="A224" s="26" t="s">
        <v>507</v>
      </c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</row>
    <row r="225" spans="1:1" hidden="1" x14ac:dyDescent="0.25">
      <c r="A225" s="7" t="s">
        <v>487</v>
      </c>
    </row>
    <row r="226" spans="1:1" hidden="1" x14ac:dyDescent="0.25"/>
    <row r="227" spans="1:1" hidden="1" x14ac:dyDescent="0.25"/>
    <row r="228" spans="1:1" hidden="1" x14ac:dyDescent="0.25"/>
    <row r="229" spans="1:1" hidden="1" x14ac:dyDescent="0.25"/>
    <row r="230" spans="1:1" hidden="1" x14ac:dyDescent="0.25"/>
    <row r="231" spans="1:1" hidden="1" x14ac:dyDescent="0.25"/>
    <row r="232" spans="1:1" hidden="1" x14ac:dyDescent="0.25"/>
    <row r="233" spans="1:1" hidden="1" x14ac:dyDescent="0.25"/>
    <row r="234" spans="1:1" hidden="1" x14ac:dyDescent="0.25"/>
    <row r="235" spans="1:1" hidden="1" x14ac:dyDescent="0.25"/>
    <row r="236" spans="1:1" hidden="1" x14ac:dyDescent="0.25"/>
    <row r="237" spans="1:1" hidden="1" x14ac:dyDescent="0.25"/>
    <row r="238" spans="1:1" hidden="1" x14ac:dyDescent="0.25"/>
    <row r="239" spans="1:1" hidden="1" x14ac:dyDescent="0.25"/>
    <row r="240" spans="1:1" hidden="1" x14ac:dyDescent="0.25"/>
    <row r="241" spans="1:12" hidden="1" x14ac:dyDescent="0.25"/>
    <row r="242" spans="1:12" ht="18" hidden="1" customHeight="1" x14ac:dyDescent="0.25">
      <c r="A242" s="26" t="s">
        <v>509</v>
      </c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</row>
    <row r="243" spans="1:12" hidden="1" x14ac:dyDescent="0.25">
      <c r="A243" s="7" t="s">
        <v>487</v>
      </c>
    </row>
    <row r="244" spans="1:12" hidden="1" x14ac:dyDescent="0.25"/>
    <row r="245" spans="1:12" hidden="1" x14ac:dyDescent="0.25"/>
    <row r="246" spans="1:12" hidden="1" x14ac:dyDescent="0.25"/>
    <row r="247" spans="1:12" hidden="1" x14ac:dyDescent="0.25"/>
    <row r="248" spans="1:12" hidden="1" x14ac:dyDescent="0.25"/>
    <row r="249" spans="1:12" hidden="1" x14ac:dyDescent="0.25"/>
    <row r="250" spans="1:12" hidden="1" x14ac:dyDescent="0.25"/>
    <row r="251" spans="1:12" hidden="1" x14ac:dyDescent="0.25"/>
    <row r="252" spans="1:12" hidden="1" x14ac:dyDescent="0.25"/>
    <row r="253" spans="1:12" hidden="1" x14ac:dyDescent="0.25"/>
    <row r="254" spans="1:12" hidden="1" x14ac:dyDescent="0.25"/>
    <row r="255" spans="1:12" hidden="1" x14ac:dyDescent="0.25"/>
    <row r="256" spans="1:12" hidden="1" x14ac:dyDescent="0.25"/>
    <row r="257" spans="1:12" hidden="1" x14ac:dyDescent="0.25"/>
    <row r="258" spans="1:12" hidden="1" x14ac:dyDescent="0.25"/>
    <row r="259" spans="1:12" hidden="1" x14ac:dyDescent="0.25"/>
    <row r="260" spans="1:12" ht="18" hidden="1" customHeight="1" x14ac:dyDescent="0.25">
      <c r="A260" s="26" t="s">
        <v>510</v>
      </c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</row>
    <row r="261" spans="1:12" hidden="1" x14ac:dyDescent="0.25">
      <c r="A261" s="7" t="s">
        <v>487</v>
      </c>
    </row>
    <row r="262" spans="1:12" hidden="1" x14ac:dyDescent="0.25"/>
    <row r="263" spans="1:12" hidden="1" x14ac:dyDescent="0.25"/>
    <row r="264" spans="1:12" hidden="1" x14ac:dyDescent="0.25"/>
    <row r="265" spans="1:12" hidden="1" x14ac:dyDescent="0.25"/>
    <row r="266" spans="1:12" hidden="1" x14ac:dyDescent="0.25"/>
    <row r="267" spans="1:12" hidden="1" x14ac:dyDescent="0.25"/>
    <row r="268" spans="1:12" hidden="1" x14ac:dyDescent="0.25"/>
    <row r="269" spans="1:12" hidden="1" x14ac:dyDescent="0.25"/>
    <row r="270" spans="1:12" hidden="1" x14ac:dyDescent="0.25"/>
    <row r="271" spans="1:12" hidden="1" x14ac:dyDescent="0.25"/>
    <row r="272" spans="1:12" hidden="1" x14ac:dyDescent="0.25"/>
    <row r="273" spans="1:12" hidden="1" x14ac:dyDescent="0.25"/>
    <row r="274" spans="1:12" hidden="1" x14ac:dyDescent="0.25"/>
    <row r="275" spans="1:12" hidden="1" x14ac:dyDescent="0.25"/>
    <row r="276" spans="1:12" hidden="1" x14ac:dyDescent="0.25"/>
    <row r="277" spans="1:12" hidden="1" x14ac:dyDescent="0.25"/>
    <row r="278" spans="1:12" ht="18" hidden="1" customHeight="1" x14ac:dyDescent="0.25">
      <c r="A278" s="26" t="s">
        <v>511</v>
      </c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</row>
    <row r="279" spans="1:12" hidden="1" x14ac:dyDescent="0.25">
      <c r="A279" s="7" t="s">
        <v>487</v>
      </c>
    </row>
    <row r="280" spans="1:12" hidden="1" x14ac:dyDescent="0.25"/>
    <row r="281" spans="1:12" hidden="1" x14ac:dyDescent="0.25"/>
    <row r="282" spans="1:12" hidden="1" x14ac:dyDescent="0.25"/>
    <row r="283" spans="1:12" hidden="1" x14ac:dyDescent="0.25"/>
    <row r="284" spans="1:12" hidden="1" x14ac:dyDescent="0.25"/>
    <row r="285" spans="1:12" hidden="1" x14ac:dyDescent="0.25"/>
    <row r="286" spans="1:12" hidden="1" x14ac:dyDescent="0.25"/>
    <row r="287" spans="1:12" hidden="1" x14ac:dyDescent="0.25"/>
    <row r="288" spans="1:12" hidden="1" x14ac:dyDescent="0.25"/>
    <row r="289" spans="1:12" hidden="1" x14ac:dyDescent="0.25"/>
    <row r="290" spans="1:12" hidden="1" x14ac:dyDescent="0.25"/>
    <row r="291" spans="1:12" hidden="1" x14ac:dyDescent="0.25"/>
    <row r="292" spans="1:12" hidden="1" x14ac:dyDescent="0.25"/>
    <row r="293" spans="1:12" hidden="1" x14ac:dyDescent="0.25"/>
    <row r="294" spans="1:12" hidden="1" x14ac:dyDescent="0.25"/>
    <row r="295" spans="1:12" hidden="1" x14ac:dyDescent="0.25"/>
    <row r="296" spans="1:12" ht="18" hidden="1" customHeight="1" x14ac:dyDescent="0.25">
      <c r="A296" s="26" t="s">
        <v>512</v>
      </c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</row>
    <row r="297" spans="1:12" hidden="1" x14ac:dyDescent="0.25">
      <c r="A297" s="7" t="s">
        <v>487</v>
      </c>
    </row>
    <row r="298" spans="1:12" hidden="1" x14ac:dyDescent="0.25"/>
    <row r="299" spans="1:12" hidden="1" x14ac:dyDescent="0.25"/>
    <row r="300" spans="1:12" hidden="1" x14ac:dyDescent="0.25"/>
    <row r="301" spans="1:12" hidden="1" x14ac:dyDescent="0.25"/>
    <row r="302" spans="1:12" hidden="1" x14ac:dyDescent="0.25"/>
    <row r="303" spans="1:12" hidden="1" x14ac:dyDescent="0.25"/>
    <row r="304" spans="1:12" hidden="1" x14ac:dyDescent="0.25"/>
    <row r="305" spans="1:12" hidden="1" x14ac:dyDescent="0.25"/>
    <row r="306" spans="1:12" hidden="1" x14ac:dyDescent="0.25"/>
    <row r="307" spans="1:12" hidden="1" x14ac:dyDescent="0.25"/>
    <row r="308" spans="1:12" hidden="1" x14ac:dyDescent="0.25"/>
    <row r="309" spans="1:12" hidden="1" x14ac:dyDescent="0.25"/>
    <row r="310" spans="1:12" hidden="1" x14ac:dyDescent="0.25"/>
    <row r="311" spans="1:12" hidden="1" x14ac:dyDescent="0.25"/>
    <row r="312" spans="1:12" hidden="1" x14ac:dyDescent="0.25"/>
    <row r="313" spans="1:12" hidden="1" x14ac:dyDescent="0.25"/>
    <row r="314" spans="1:12" ht="18" hidden="1" customHeight="1" x14ac:dyDescent="0.25">
      <c r="A314" s="26" t="s">
        <v>513</v>
      </c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</row>
    <row r="315" spans="1:12" hidden="1" x14ac:dyDescent="0.25">
      <c r="A315" s="7" t="s">
        <v>487</v>
      </c>
    </row>
    <row r="316" spans="1:12" hidden="1" x14ac:dyDescent="0.25"/>
    <row r="317" spans="1:12" hidden="1" x14ac:dyDescent="0.25"/>
    <row r="318" spans="1:12" hidden="1" x14ac:dyDescent="0.25"/>
    <row r="319" spans="1:12" hidden="1" x14ac:dyDescent="0.25"/>
    <row r="320" spans="1:12" hidden="1" x14ac:dyDescent="0.25"/>
    <row r="321" spans="1:12" hidden="1" x14ac:dyDescent="0.25"/>
    <row r="322" spans="1:12" hidden="1" x14ac:dyDescent="0.25"/>
    <row r="323" spans="1:12" hidden="1" x14ac:dyDescent="0.25"/>
    <row r="324" spans="1:12" hidden="1" x14ac:dyDescent="0.25"/>
    <row r="325" spans="1:12" hidden="1" x14ac:dyDescent="0.25"/>
    <row r="326" spans="1:12" hidden="1" x14ac:dyDescent="0.25"/>
    <row r="327" spans="1:12" hidden="1" x14ac:dyDescent="0.25"/>
    <row r="328" spans="1:12" hidden="1" x14ac:dyDescent="0.25"/>
    <row r="329" spans="1:12" hidden="1" x14ac:dyDescent="0.25"/>
    <row r="330" spans="1:12" hidden="1" x14ac:dyDescent="0.25"/>
    <row r="331" spans="1:12" hidden="1" x14ac:dyDescent="0.25"/>
    <row r="332" spans="1:12" ht="18" hidden="1" customHeight="1" x14ac:dyDescent="0.25">
      <c r="A332" s="26" t="s">
        <v>514</v>
      </c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</row>
    <row r="333" spans="1:12" hidden="1" x14ac:dyDescent="0.25">
      <c r="A333" s="7" t="s">
        <v>487</v>
      </c>
    </row>
    <row r="334" spans="1:12" hidden="1" x14ac:dyDescent="0.25"/>
    <row r="335" spans="1:12" hidden="1" x14ac:dyDescent="0.25"/>
    <row r="336" spans="1:12" hidden="1" x14ac:dyDescent="0.25"/>
    <row r="337" spans="1:12" hidden="1" x14ac:dyDescent="0.25"/>
    <row r="338" spans="1:12" hidden="1" x14ac:dyDescent="0.25"/>
    <row r="339" spans="1:12" hidden="1" x14ac:dyDescent="0.25"/>
    <row r="340" spans="1:12" hidden="1" x14ac:dyDescent="0.25"/>
    <row r="341" spans="1:12" hidden="1" x14ac:dyDescent="0.25"/>
    <row r="342" spans="1:12" hidden="1" x14ac:dyDescent="0.25"/>
    <row r="343" spans="1:12" hidden="1" x14ac:dyDescent="0.25"/>
    <row r="344" spans="1:12" hidden="1" x14ac:dyDescent="0.25"/>
    <row r="345" spans="1:12" hidden="1" x14ac:dyDescent="0.25"/>
    <row r="346" spans="1:12" hidden="1" x14ac:dyDescent="0.25"/>
    <row r="347" spans="1:12" hidden="1" x14ac:dyDescent="0.25"/>
    <row r="348" spans="1:12" hidden="1" x14ac:dyDescent="0.25"/>
    <row r="349" spans="1:12" hidden="1" x14ac:dyDescent="0.25"/>
    <row r="350" spans="1:12" ht="18" hidden="1" customHeight="1" x14ac:dyDescent="0.25">
      <c r="A350" s="26" t="s">
        <v>515</v>
      </c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</row>
    <row r="351" spans="1:12" hidden="1" x14ac:dyDescent="0.25">
      <c r="A351" s="7" t="s">
        <v>487</v>
      </c>
    </row>
    <row r="352" spans="1:12" hidden="1" x14ac:dyDescent="0.25"/>
    <row r="353" spans="1:12" hidden="1" x14ac:dyDescent="0.25"/>
    <row r="354" spans="1:12" hidden="1" x14ac:dyDescent="0.25"/>
    <row r="355" spans="1:12" hidden="1" x14ac:dyDescent="0.25"/>
    <row r="356" spans="1:12" hidden="1" x14ac:dyDescent="0.25"/>
    <row r="357" spans="1:12" hidden="1" x14ac:dyDescent="0.25"/>
    <row r="358" spans="1:12" hidden="1" x14ac:dyDescent="0.25"/>
    <row r="359" spans="1:12" hidden="1" x14ac:dyDescent="0.25"/>
    <row r="360" spans="1:12" hidden="1" x14ac:dyDescent="0.25"/>
    <row r="361" spans="1:12" hidden="1" x14ac:dyDescent="0.25"/>
    <row r="362" spans="1:12" hidden="1" x14ac:dyDescent="0.25"/>
    <row r="363" spans="1:12" hidden="1" x14ac:dyDescent="0.25"/>
    <row r="364" spans="1:12" hidden="1" x14ac:dyDescent="0.25"/>
    <row r="365" spans="1:12" hidden="1" x14ac:dyDescent="0.25"/>
    <row r="366" spans="1:12" hidden="1" x14ac:dyDescent="0.25"/>
    <row r="367" spans="1:12" hidden="1" x14ac:dyDescent="0.25"/>
    <row r="368" spans="1:12" ht="18" hidden="1" customHeight="1" x14ac:dyDescent="0.25">
      <c r="A368" s="26" t="s">
        <v>516</v>
      </c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</row>
    <row r="369" spans="1:1" hidden="1" x14ac:dyDescent="0.25">
      <c r="A369" s="7" t="s">
        <v>487</v>
      </c>
    </row>
    <row r="370" spans="1:1" hidden="1" x14ac:dyDescent="0.25"/>
    <row r="371" spans="1:1" hidden="1" x14ac:dyDescent="0.25"/>
    <row r="372" spans="1:1" hidden="1" x14ac:dyDescent="0.25"/>
    <row r="373" spans="1:1" hidden="1" x14ac:dyDescent="0.25"/>
    <row r="374" spans="1:1" hidden="1" x14ac:dyDescent="0.25"/>
    <row r="375" spans="1:1" hidden="1" x14ac:dyDescent="0.25"/>
    <row r="376" spans="1:1" hidden="1" x14ac:dyDescent="0.25"/>
    <row r="377" spans="1:1" hidden="1" x14ac:dyDescent="0.25"/>
    <row r="378" spans="1:1" hidden="1" x14ac:dyDescent="0.25"/>
    <row r="379" spans="1:1" hidden="1" x14ac:dyDescent="0.25"/>
    <row r="380" spans="1:1" hidden="1" x14ac:dyDescent="0.25"/>
    <row r="381" spans="1:1" hidden="1" x14ac:dyDescent="0.25"/>
    <row r="382" spans="1:1" hidden="1" x14ac:dyDescent="0.25"/>
    <row r="383" spans="1:1" hidden="1" x14ac:dyDescent="0.25"/>
    <row r="384" spans="1:1" hidden="1" x14ac:dyDescent="0.25"/>
    <row r="385" spans="1:12" hidden="1" x14ac:dyDescent="0.25"/>
    <row r="386" spans="1:12" ht="18" hidden="1" customHeight="1" x14ac:dyDescent="0.25">
      <c r="A386" s="26" t="s">
        <v>517</v>
      </c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</row>
    <row r="387" spans="1:12" hidden="1" x14ac:dyDescent="0.25">
      <c r="A387" s="7" t="s">
        <v>487</v>
      </c>
    </row>
    <row r="388" spans="1:12" hidden="1" x14ac:dyDescent="0.25"/>
    <row r="389" spans="1:12" hidden="1" x14ac:dyDescent="0.25"/>
    <row r="390" spans="1:12" hidden="1" x14ac:dyDescent="0.25"/>
    <row r="391" spans="1:12" hidden="1" x14ac:dyDescent="0.25"/>
    <row r="392" spans="1:12" hidden="1" x14ac:dyDescent="0.25"/>
    <row r="393" spans="1:12" hidden="1" x14ac:dyDescent="0.25"/>
    <row r="394" spans="1:12" hidden="1" x14ac:dyDescent="0.25"/>
    <row r="395" spans="1:12" hidden="1" x14ac:dyDescent="0.25"/>
    <row r="396" spans="1:12" hidden="1" x14ac:dyDescent="0.25"/>
    <row r="397" spans="1:12" hidden="1" x14ac:dyDescent="0.25"/>
    <row r="398" spans="1:12" hidden="1" x14ac:dyDescent="0.25"/>
    <row r="399" spans="1:12" hidden="1" x14ac:dyDescent="0.25"/>
    <row r="400" spans="1:12" hidden="1" x14ac:dyDescent="0.25"/>
    <row r="401" spans="1:12" hidden="1" x14ac:dyDescent="0.25"/>
    <row r="402" spans="1:12" hidden="1" x14ac:dyDescent="0.25"/>
    <row r="403" spans="1:12" hidden="1" x14ac:dyDescent="0.25"/>
    <row r="404" spans="1:12" ht="18" hidden="1" customHeight="1" x14ac:dyDescent="0.25">
      <c r="A404" s="26" t="s">
        <v>518</v>
      </c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</row>
    <row r="405" spans="1:12" hidden="1" x14ac:dyDescent="0.25">
      <c r="A405" s="7" t="s">
        <v>487</v>
      </c>
    </row>
    <row r="406" spans="1:12" hidden="1" x14ac:dyDescent="0.25"/>
    <row r="407" spans="1:12" hidden="1" x14ac:dyDescent="0.25"/>
    <row r="408" spans="1:12" hidden="1" x14ac:dyDescent="0.25"/>
    <row r="409" spans="1:12" hidden="1" x14ac:dyDescent="0.25"/>
    <row r="410" spans="1:12" hidden="1" x14ac:dyDescent="0.25"/>
    <row r="411" spans="1:12" hidden="1" x14ac:dyDescent="0.25"/>
    <row r="412" spans="1:12" hidden="1" x14ac:dyDescent="0.25"/>
    <row r="413" spans="1:12" hidden="1" x14ac:dyDescent="0.25"/>
    <row r="414" spans="1:12" hidden="1" x14ac:dyDescent="0.25"/>
    <row r="415" spans="1:12" hidden="1" x14ac:dyDescent="0.25"/>
    <row r="416" spans="1:12" hidden="1" x14ac:dyDescent="0.25"/>
    <row r="417" spans="1:12" hidden="1" x14ac:dyDescent="0.25"/>
    <row r="418" spans="1:12" hidden="1" x14ac:dyDescent="0.25"/>
    <row r="419" spans="1:12" hidden="1" x14ac:dyDescent="0.25"/>
    <row r="420" spans="1:12" hidden="1" x14ac:dyDescent="0.25"/>
    <row r="421" spans="1:12" hidden="1" x14ac:dyDescent="0.25"/>
    <row r="422" spans="1:12" ht="18" hidden="1" customHeight="1" x14ac:dyDescent="0.25">
      <c r="A422" s="26" t="s">
        <v>519</v>
      </c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</row>
    <row r="423" spans="1:12" hidden="1" x14ac:dyDescent="0.25">
      <c r="A423" s="7" t="s">
        <v>487</v>
      </c>
    </row>
    <row r="424" spans="1:12" hidden="1" x14ac:dyDescent="0.25"/>
    <row r="425" spans="1:12" hidden="1" x14ac:dyDescent="0.25"/>
    <row r="426" spans="1:12" hidden="1" x14ac:dyDescent="0.25"/>
    <row r="427" spans="1:12" hidden="1" x14ac:dyDescent="0.25"/>
    <row r="428" spans="1:12" hidden="1" x14ac:dyDescent="0.25"/>
    <row r="429" spans="1:12" hidden="1" x14ac:dyDescent="0.25"/>
    <row r="430" spans="1:12" hidden="1" x14ac:dyDescent="0.25"/>
    <row r="431" spans="1:12" hidden="1" x14ac:dyDescent="0.25"/>
    <row r="432" spans="1:12" hidden="1" x14ac:dyDescent="0.25"/>
    <row r="433" spans="1:12" hidden="1" x14ac:dyDescent="0.25"/>
    <row r="434" spans="1:12" hidden="1" x14ac:dyDescent="0.25"/>
    <row r="435" spans="1:12" hidden="1" x14ac:dyDescent="0.25"/>
    <row r="436" spans="1:12" hidden="1" x14ac:dyDescent="0.25"/>
    <row r="437" spans="1:12" hidden="1" x14ac:dyDescent="0.25"/>
    <row r="438" spans="1:12" hidden="1" x14ac:dyDescent="0.25"/>
    <row r="439" spans="1:12" hidden="1" x14ac:dyDescent="0.25"/>
    <row r="440" spans="1:12" ht="20.100000000000001" hidden="1" customHeight="1" x14ac:dyDescent="0.25">
      <c r="A440" s="25" t="s">
        <v>57</v>
      </c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</row>
    <row r="441" spans="1:12" ht="18" hidden="1" customHeight="1" x14ac:dyDescent="0.25">
      <c r="A441" s="26" t="s">
        <v>520</v>
      </c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</row>
    <row r="442" spans="1:12" hidden="1" x14ac:dyDescent="0.25">
      <c r="A442" s="7" t="s">
        <v>487</v>
      </c>
    </row>
    <row r="443" spans="1:12" hidden="1" x14ac:dyDescent="0.25"/>
    <row r="444" spans="1:12" hidden="1" x14ac:dyDescent="0.25"/>
    <row r="445" spans="1:12" hidden="1" x14ac:dyDescent="0.25"/>
    <row r="446" spans="1:12" hidden="1" x14ac:dyDescent="0.25"/>
    <row r="447" spans="1:12" hidden="1" x14ac:dyDescent="0.25"/>
    <row r="448" spans="1:12" hidden="1" x14ac:dyDescent="0.25"/>
    <row r="449" spans="1:12" hidden="1" x14ac:dyDescent="0.25"/>
    <row r="450" spans="1:12" hidden="1" x14ac:dyDescent="0.25"/>
    <row r="451" spans="1:12" hidden="1" x14ac:dyDescent="0.25"/>
    <row r="452" spans="1:12" hidden="1" x14ac:dyDescent="0.25"/>
    <row r="453" spans="1:12" hidden="1" x14ac:dyDescent="0.25"/>
    <row r="454" spans="1:12" hidden="1" x14ac:dyDescent="0.25"/>
    <row r="455" spans="1:12" hidden="1" x14ac:dyDescent="0.25"/>
    <row r="456" spans="1:12" hidden="1" x14ac:dyDescent="0.25"/>
    <row r="457" spans="1:12" hidden="1" x14ac:dyDescent="0.25"/>
    <row r="458" spans="1:12" hidden="1" x14ac:dyDescent="0.25"/>
    <row r="459" spans="1:12" ht="18" hidden="1" customHeight="1" x14ac:dyDescent="0.25">
      <c r="A459" s="26" t="s">
        <v>521</v>
      </c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</row>
    <row r="460" spans="1:12" hidden="1" x14ac:dyDescent="0.25">
      <c r="A460" s="7" t="s">
        <v>487</v>
      </c>
    </row>
    <row r="461" spans="1:12" hidden="1" x14ac:dyDescent="0.25"/>
    <row r="462" spans="1:12" hidden="1" x14ac:dyDescent="0.25"/>
    <row r="463" spans="1:12" hidden="1" x14ac:dyDescent="0.25"/>
    <row r="464" spans="1:12" hidden="1" x14ac:dyDescent="0.25"/>
    <row r="465" spans="1:12" hidden="1" x14ac:dyDescent="0.25"/>
    <row r="466" spans="1:12" hidden="1" x14ac:dyDescent="0.25"/>
    <row r="467" spans="1:12" hidden="1" x14ac:dyDescent="0.25"/>
    <row r="468" spans="1:12" hidden="1" x14ac:dyDescent="0.25"/>
    <row r="469" spans="1:12" hidden="1" x14ac:dyDescent="0.25"/>
    <row r="470" spans="1:12" hidden="1" x14ac:dyDescent="0.25"/>
    <row r="471" spans="1:12" hidden="1" x14ac:dyDescent="0.25"/>
    <row r="472" spans="1:12" hidden="1" x14ac:dyDescent="0.25"/>
    <row r="473" spans="1:12" hidden="1" x14ac:dyDescent="0.25"/>
    <row r="474" spans="1:12" hidden="1" x14ac:dyDescent="0.25"/>
    <row r="475" spans="1:12" hidden="1" x14ac:dyDescent="0.25"/>
    <row r="476" spans="1:12" hidden="1" x14ac:dyDescent="0.25"/>
    <row r="477" spans="1:12" ht="18" hidden="1" customHeight="1" x14ac:dyDescent="0.25">
      <c r="A477" s="26" t="s">
        <v>522</v>
      </c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</row>
    <row r="478" spans="1:12" hidden="1" x14ac:dyDescent="0.25">
      <c r="A478" s="7" t="s">
        <v>487</v>
      </c>
    </row>
    <row r="479" spans="1:12" hidden="1" x14ac:dyDescent="0.25"/>
    <row r="480" spans="1:12" hidden="1" x14ac:dyDescent="0.25"/>
    <row r="481" spans="1:12" hidden="1" x14ac:dyDescent="0.25"/>
    <row r="482" spans="1:12" hidden="1" x14ac:dyDescent="0.25"/>
    <row r="483" spans="1:12" hidden="1" x14ac:dyDescent="0.25"/>
    <row r="484" spans="1:12" hidden="1" x14ac:dyDescent="0.25"/>
    <row r="485" spans="1:12" hidden="1" x14ac:dyDescent="0.25"/>
    <row r="486" spans="1:12" hidden="1" x14ac:dyDescent="0.25"/>
    <row r="487" spans="1:12" hidden="1" x14ac:dyDescent="0.25"/>
    <row r="488" spans="1:12" hidden="1" x14ac:dyDescent="0.25"/>
    <row r="489" spans="1:12" hidden="1" x14ac:dyDescent="0.25"/>
    <row r="490" spans="1:12" hidden="1" x14ac:dyDescent="0.25"/>
    <row r="491" spans="1:12" hidden="1" x14ac:dyDescent="0.25"/>
    <row r="492" spans="1:12" hidden="1" x14ac:dyDescent="0.25"/>
    <row r="493" spans="1:12" hidden="1" x14ac:dyDescent="0.25"/>
    <row r="494" spans="1:12" hidden="1" x14ac:dyDescent="0.25"/>
    <row r="495" spans="1:12" ht="18" hidden="1" customHeight="1" x14ac:dyDescent="0.25">
      <c r="A495" s="26" t="s">
        <v>523</v>
      </c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</row>
    <row r="496" spans="1:12" hidden="1" x14ac:dyDescent="0.25">
      <c r="A496" s="7" t="s">
        <v>487</v>
      </c>
    </row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1:12" ht="18" hidden="1" customHeight="1" x14ac:dyDescent="0.25">
      <c r="A513" s="26" t="s">
        <v>524</v>
      </c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</row>
    <row r="514" spans="1:12" hidden="1" x14ac:dyDescent="0.25">
      <c r="A514" s="7" t="s">
        <v>487</v>
      </c>
    </row>
    <row r="515" spans="1:12" hidden="1" x14ac:dyDescent="0.25"/>
    <row r="516" spans="1:12" hidden="1" x14ac:dyDescent="0.25"/>
    <row r="517" spans="1:12" hidden="1" x14ac:dyDescent="0.25"/>
    <row r="518" spans="1:12" hidden="1" x14ac:dyDescent="0.25"/>
    <row r="519" spans="1:12" hidden="1" x14ac:dyDescent="0.25"/>
    <row r="520" spans="1:12" hidden="1" x14ac:dyDescent="0.25"/>
    <row r="521" spans="1:12" hidden="1" x14ac:dyDescent="0.25"/>
    <row r="522" spans="1:12" hidden="1" x14ac:dyDescent="0.25"/>
    <row r="523" spans="1:12" hidden="1" x14ac:dyDescent="0.25"/>
    <row r="524" spans="1:12" hidden="1" x14ac:dyDescent="0.25"/>
    <row r="525" spans="1:12" hidden="1" x14ac:dyDescent="0.25"/>
    <row r="526" spans="1:12" hidden="1" x14ac:dyDescent="0.25"/>
    <row r="527" spans="1:12" hidden="1" x14ac:dyDescent="0.25"/>
    <row r="528" spans="1:12" hidden="1" x14ac:dyDescent="0.25"/>
    <row r="529" spans="1:12" hidden="1" x14ac:dyDescent="0.25"/>
    <row r="530" spans="1:12" hidden="1" x14ac:dyDescent="0.25"/>
    <row r="531" spans="1:12" ht="20.100000000000001" hidden="1" customHeight="1" x14ac:dyDescent="0.25">
      <c r="A531" s="25" t="s">
        <v>70</v>
      </c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</row>
    <row r="532" spans="1:12" ht="18" hidden="1" customHeight="1" x14ac:dyDescent="0.25">
      <c r="A532" s="26" t="s">
        <v>525</v>
      </c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</row>
    <row r="533" spans="1:12" hidden="1" x14ac:dyDescent="0.25">
      <c r="A533" s="7" t="s">
        <v>487</v>
      </c>
    </row>
    <row r="534" spans="1:12" hidden="1" x14ac:dyDescent="0.25"/>
    <row r="535" spans="1:12" hidden="1" x14ac:dyDescent="0.25"/>
    <row r="536" spans="1:12" hidden="1" x14ac:dyDescent="0.25"/>
    <row r="537" spans="1:12" hidden="1" x14ac:dyDescent="0.25"/>
    <row r="538" spans="1:12" hidden="1" x14ac:dyDescent="0.25"/>
    <row r="539" spans="1:12" hidden="1" x14ac:dyDescent="0.25"/>
    <row r="540" spans="1:12" hidden="1" x14ac:dyDescent="0.25"/>
    <row r="541" spans="1:12" hidden="1" x14ac:dyDescent="0.25"/>
    <row r="542" spans="1:12" hidden="1" x14ac:dyDescent="0.25"/>
    <row r="543" spans="1:12" hidden="1" x14ac:dyDescent="0.25"/>
    <row r="544" spans="1:12" hidden="1" x14ac:dyDescent="0.25"/>
    <row r="545" spans="1:12" hidden="1" x14ac:dyDescent="0.25"/>
    <row r="546" spans="1:12" hidden="1" x14ac:dyDescent="0.25"/>
    <row r="547" spans="1:12" hidden="1" x14ac:dyDescent="0.25"/>
    <row r="548" spans="1:12" hidden="1" x14ac:dyDescent="0.25"/>
    <row r="549" spans="1:12" hidden="1" x14ac:dyDescent="0.25"/>
    <row r="550" spans="1:12" ht="18" hidden="1" customHeight="1" x14ac:dyDescent="0.25">
      <c r="A550" s="26" t="s">
        <v>527</v>
      </c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</row>
    <row r="551" spans="1:12" hidden="1" x14ac:dyDescent="0.25">
      <c r="A551" s="7" t="s">
        <v>487</v>
      </c>
    </row>
    <row r="552" spans="1:12" hidden="1" x14ac:dyDescent="0.25"/>
    <row r="553" spans="1:12" hidden="1" x14ac:dyDescent="0.25"/>
    <row r="554" spans="1:12" hidden="1" x14ac:dyDescent="0.25"/>
    <row r="555" spans="1:12" hidden="1" x14ac:dyDescent="0.25"/>
    <row r="556" spans="1:12" hidden="1" x14ac:dyDescent="0.25"/>
    <row r="557" spans="1:12" hidden="1" x14ac:dyDescent="0.25"/>
    <row r="558" spans="1:12" hidden="1" x14ac:dyDescent="0.25"/>
    <row r="559" spans="1:12" hidden="1" x14ac:dyDescent="0.25"/>
    <row r="560" spans="1:12" hidden="1" x14ac:dyDescent="0.25"/>
    <row r="561" spans="1:12" hidden="1" x14ac:dyDescent="0.25"/>
    <row r="562" spans="1:12" hidden="1" x14ac:dyDescent="0.25"/>
    <row r="563" spans="1:12" hidden="1" x14ac:dyDescent="0.25"/>
    <row r="564" spans="1:12" hidden="1" x14ac:dyDescent="0.25"/>
    <row r="565" spans="1:12" hidden="1" x14ac:dyDescent="0.25"/>
    <row r="566" spans="1:12" hidden="1" x14ac:dyDescent="0.25"/>
    <row r="567" spans="1:12" hidden="1" x14ac:dyDescent="0.25"/>
    <row r="568" spans="1:12" ht="18" hidden="1" customHeight="1" x14ac:dyDescent="0.25">
      <c r="A568" s="26" t="s">
        <v>529</v>
      </c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</row>
    <row r="569" spans="1:12" hidden="1" x14ac:dyDescent="0.25">
      <c r="A569" s="7" t="s">
        <v>487</v>
      </c>
    </row>
    <row r="570" spans="1:12" hidden="1" x14ac:dyDescent="0.25"/>
    <row r="571" spans="1:12" hidden="1" x14ac:dyDescent="0.25"/>
    <row r="572" spans="1:12" hidden="1" x14ac:dyDescent="0.25"/>
    <row r="573" spans="1:12" hidden="1" x14ac:dyDescent="0.25"/>
    <row r="574" spans="1:12" hidden="1" x14ac:dyDescent="0.25"/>
    <row r="575" spans="1:12" hidden="1" x14ac:dyDescent="0.25"/>
    <row r="576" spans="1:12" hidden="1" x14ac:dyDescent="0.25"/>
    <row r="577" spans="1:12" hidden="1" x14ac:dyDescent="0.25"/>
    <row r="578" spans="1:12" hidden="1" x14ac:dyDescent="0.25"/>
    <row r="579" spans="1:12" hidden="1" x14ac:dyDescent="0.25"/>
    <row r="580" spans="1:12" hidden="1" x14ac:dyDescent="0.25"/>
    <row r="581" spans="1:12" hidden="1" x14ac:dyDescent="0.25"/>
    <row r="582" spans="1:12" hidden="1" x14ac:dyDescent="0.25"/>
    <row r="583" spans="1:12" hidden="1" x14ac:dyDescent="0.25"/>
    <row r="584" spans="1:12" hidden="1" x14ac:dyDescent="0.25"/>
    <row r="585" spans="1:12" hidden="1" x14ac:dyDescent="0.25"/>
    <row r="586" spans="1:12" ht="18" hidden="1" customHeight="1" x14ac:dyDescent="0.25">
      <c r="A586" s="26" t="s">
        <v>530</v>
      </c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</row>
    <row r="587" spans="1:12" hidden="1" x14ac:dyDescent="0.25">
      <c r="A587" s="7" t="s">
        <v>487</v>
      </c>
    </row>
    <row r="588" spans="1:12" hidden="1" x14ac:dyDescent="0.25"/>
    <row r="589" spans="1:12" hidden="1" x14ac:dyDescent="0.25"/>
    <row r="590" spans="1:12" hidden="1" x14ac:dyDescent="0.25"/>
    <row r="591" spans="1:12" hidden="1" x14ac:dyDescent="0.25"/>
    <row r="592" spans="1:12" hidden="1" x14ac:dyDescent="0.25"/>
    <row r="593" spans="1:12" hidden="1" x14ac:dyDescent="0.25"/>
    <row r="594" spans="1:12" hidden="1" x14ac:dyDescent="0.25"/>
    <row r="595" spans="1:12" hidden="1" x14ac:dyDescent="0.25"/>
    <row r="596" spans="1:12" hidden="1" x14ac:dyDescent="0.25"/>
    <row r="597" spans="1:12" hidden="1" x14ac:dyDescent="0.25"/>
    <row r="598" spans="1:12" hidden="1" x14ac:dyDescent="0.25"/>
    <row r="599" spans="1:12" hidden="1" x14ac:dyDescent="0.25"/>
    <row r="600" spans="1:12" hidden="1" x14ac:dyDescent="0.25"/>
    <row r="601" spans="1:12" hidden="1" x14ac:dyDescent="0.25"/>
    <row r="602" spans="1:12" hidden="1" x14ac:dyDescent="0.25"/>
    <row r="603" spans="1:12" hidden="1" x14ac:dyDescent="0.25"/>
    <row r="604" spans="1:12" ht="18" hidden="1" customHeight="1" x14ac:dyDescent="0.25">
      <c r="A604" s="26" t="s">
        <v>531</v>
      </c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</row>
    <row r="605" spans="1:12" hidden="1" x14ac:dyDescent="0.25">
      <c r="A605" s="7" t="s">
        <v>487</v>
      </c>
    </row>
    <row r="606" spans="1:12" hidden="1" x14ac:dyDescent="0.25"/>
    <row r="607" spans="1:12" hidden="1" x14ac:dyDescent="0.25"/>
    <row r="608" spans="1:12" hidden="1" x14ac:dyDescent="0.25"/>
    <row r="609" spans="1:12" hidden="1" x14ac:dyDescent="0.25"/>
    <row r="610" spans="1:12" hidden="1" x14ac:dyDescent="0.25"/>
    <row r="611" spans="1:12" hidden="1" x14ac:dyDescent="0.25"/>
    <row r="612" spans="1:12" hidden="1" x14ac:dyDescent="0.25"/>
    <row r="613" spans="1:12" hidden="1" x14ac:dyDescent="0.25"/>
    <row r="614" spans="1:12" hidden="1" x14ac:dyDescent="0.25"/>
    <row r="615" spans="1:12" hidden="1" x14ac:dyDescent="0.25"/>
    <row r="616" spans="1:12" hidden="1" x14ac:dyDescent="0.25"/>
    <row r="617" spans="1:12" hidden="1" x14ac:dyDescent="0.25"/>
    <row r="618" spans="1:12" hidden="1" x14ac:dyDescent="0.25"/>
    <row r="619" spans="1:12" hidden="1" x14ac:dyDescent="0.25"/>
    <row r="620" spans="1:12" hidden="1" x14ac:dyDescent="0.25"/>
    <row r="621" spans="1:12" hidden="1" x14ac:dyDescent="0.25"/>
    <row r="622" spans="1:12" ht="18" hidden="1" customHeight="1" x14ac:dyDescent="0.25">
      <c r="A622" s="26" t="s">
        <v>532</v>
      </c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</row>
    <row r="623" spans="1:12" hidden="1" x14ac:dyDescent="0.25">
      <c r="A623" s="7" t="s">
        <v>487</v>
      </c>
    </row>
    <row r="624" spans="1:12" hidden="1" x14ac:dyDescent="0.25"/>
    <row r="625" spans="1:12" hidden="1" x14ac:dyDescent="0.25"/>
    <row r="626" spans="1:12" hidden="1" x14ac:dyDescent="0.25"/>
    <row r="627" spans="1:12" hidden="1" x14ac:dyDescent="0.25"/>
    <row r="628" spans="1:12" hidden="1" x14ac:dyDescent="0.25"/>
    <row r="629" spans="1:12" hidden="1" x14ac:dyDescent="0.25"/>
    <row r="630" spans="1:12" hidden="1" x14ac:dyDescent="0.25"/>
    <row r="631" spans="1:12" hidden="1" x14ac:dyDescent="0.25"/>
    <row r="632" spans="1:12" hidden="1" x14ac:dyDescent="0.25"/>
    <row r="633" spans="1:12" hidden="1" x14ac:dyDescent="0.25"/>
    <row r="634" spans="1:12" hidden="1" x14ac:dyDescent="0.25"/>
    <row r="635" spans="1:12" hidden="1" x14ac:dyDescent="0.25"/>
    <row r="636" spans="1:12" hidden="1" x14ac:dyDescent="0.25"/>
    <row r="637" spans="1:12" hidden="1" x14ac:dyDescent="0.25"/>
    <row r="638" spans="1:12" hidden="1" x14ac:dyDescent="0.25"/>
    <row r="639" spans="1:12" hidden="1" x14ac:dyDescent="0.25"/>
    <row r="640" spans="1:12" ht="18" hidden="1" customHeight="1" x14ac:dyDescent="0.25">
      <c r="A640" s="26" t="s">
        <v>533</v>
      </c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</row>
    <row r="641" spans="1:1" hidden="1" x14ac:dyDescent="0.25">
      <c r="A641" s="7" t="s">
        <v>487</v>
      </c>
    </row>
    <row r="642" spans="1:1" hidden="1" x14ac:dyDescent="0.25"/>
    <row r="643" spans="1:1" hidden="1" x14ac:dyDescent="0.25"/>
    <row r="644" spans="1:1" hidden="1" x14ac:dyDescent="0.25"/>
    <row r="645" spans="1:1" hidden="1" x14ac:dyDescent="0.25"/>
    <row r="646" spans="1:1" hidden="1" x14ac:dyDescent="0.25"/>
    <row r="647" spans="1:1" hidden="1" x14ac:dyDescent="0.25"/>
    <row r="648" spans="1:1" hidden="1" x14ac:dyDescent="0.25"/>
    <row r="649" spans="1:1" hidden="1" x14ac:dyDescent="0.25"/>
    <row r="650" spans="1:1" hidden="1" x14ac:dyDescent="0.25"/>
    <row r="651" spans="1:1" hidden="1" x14ac:dyDescent="0.25"/>
    <row r="652" spans="1:1" hidden="1" x14ac:dyDescent="0.25"/>
    <row r="653" spans="1:1" hidden="1" x14ac:dyDescent="0.25"/>
    <row r="654" spans="1:1" hidden="1" x14ac:dyDescent="0.25"/>
    <row r="655" spans="1:1" hidden="1" x14ac:dyDescent="0.25"/>
    <row r="656" spans="1:1" hidden="1" x14ac:dyDescent="0.25"/>
    <row r="657" spans="1:12" hidden="1" x14ac:dyDescent="0.25"/>
    <row r="658" spans="1:12" ht="18" hidden="1" customHeight="1" x14ac:dyDescent="0.25">
      <c r="A658" s="26" t="s">
        <v>534</v>
      </c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</row>
    <row r="659" spans="1:12" hidden="1" x14ac:dyDescent="0.25">
      <c r="A659" s="7" t="s">
        <v>487</v>
      </c>
    </row>
    <row r="660" spans="1:12" hidden="1" x14ac:dyDescent="0.25"/>
    <row r="661" spans="1:12" hidden="1" x14ac:dyDescent="0.25"/>
    <row r="662" spans="1:12" hidden="1" x14ac:dyDescent="0.25"/>
    <row r="663" spans="1:12" hidden="1" x14ac:dyDescent="0.25"/>
    <row r="664" spans="1:12" hidden="1" x14ac:dyDescent="0.25"/>
    <row r="665" spans="1:12" hidden="1" x14ac:dyDescent="0.25"/>
    <row r="666" spans="1:12" hidden="1" x14ac:dyDescent="0.25"/>
    <row r="667" spans="1:12" hidden="1" x14ac:dyDescent="0.25"/>
    <row r="668" spans="1:12" hidden="1" x14ac:dyDescent="0.25"/>
    <row r="669" spans="1:12" hidden="1" x14ac:dyDescent="0.25"/>
    <row r="670" spans="1:12" hidden="1" x14ac:dyDescent="0.25"/>
    <row r="671" spans="1:12" hidden="1" x14ac:dyDescent="0.25"/>
    <row r="672" spans="1:12" hidden="1" x14ac:dyDescent="0.25"/>
    <row r="673" spans="1:12" hidden="1" x14ac:dyDescent="0.25"/>
    <row r="674" spans="1:12" hidden="1" x14ac:dyDescent="0.25"/>
    <row r="675" spans="1:12" hidden="1" x14ac:dyDescent="0.25"/>
    <row r="676" spans="1:12" ht="18" hidden="1" customHeight="1" x14ac:dyDescent="0.25">
      <c r="A676" s="26" t="s">
        <v>535</v>
      </c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</row>
    <row r="677" spans="1:12" hidden="1" x14ac:dyDescent="0.25">
      <c r="A677" s="7" t="s">
        <v>487</v>
      </c>
    </row>
    <row r="678" spans="1:12" hidden="1" x14ac:dyDescent="0.25"/>
    <row r="679" spans="1:12" hidden="1" x14ac:dyDescent="0.25"/>
    <row r="680" spans="1:12" hidden="1" x14ac:dyDescent="0.25"/>
    <row r="681" spans="1:12" hidden="1" x14ac:dyDescent="0.25"/>
    <row r="682" spans="1:12" hidden="1" x14ac:dyDescent="0.25"/>
    <row r="683" spans="1:12" hidden="1" x14ac:dyDescent="0.25"/>
    <row r="684" spans="1:12" hidden="1" x14ac:dyDescent="0.25"/>
    <row r="685" spans="1:12" hidden="1" x14ac:dyDescent="0.25"/>
    <row r="686" spans="1:12" hidden="1" x14ac:dyDescent="0.25"/>
    <row r="687" spans="1:12" hidden="1" x14ac:dyDescent="0.25"/>
    <row r="688" spans="1:12" hidden="1" x14ac:dyDescent="0.25"/>
    <row r="689" spans="1:12" hidden="1" x14ac:dyDescent="0.25"/>
    <row r="690" spans="1:12" hidden="1" x14ac:dyDescent="0.25"/>
    <row r="691" spans="1:12" hidden="1" x14ac:dyDescent="0.25"/>
    <row r="692" spans="1:12" hidden="1" x14ac:dyDescent="0.25"/>
    <row r="693" spans="1:12" hidden="1" x14ac:dyDescent="0.25"/>
    <row r="694" spans="1:12" ht="18" hidden="1" customHeight="1" x14ac:dyDescent="0.25">
      <c r="A694" s="26" t="s">
        <v>536</v>
      </c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</row>
    <row r="695" spans="1:12" hidden="1" x14ac:dyDescent="0.25">
      <c r="A695" s="7" t="s">
        <v>487</v>
      </c>
    </row>
    <row r="696" spans="1:12" hidden="1" x14ac:dyDescent="0.25"/>
    <row r="697" spans="1:12" hidden="1" x14ac:dyDescent="0.25"/>
    <row r="698" spans="1:12" hidden="1" x14ac:dyDescent="0.25"/>
    <row r="699" spans="1:12" hidden="1" x14ac:dyDescent="0.25"/>
    <row r="700" spans="1:12" hidden="1" x14ac:dyDescent="0.25"/>
    <row r="701" spans="1:12" hidden="1" x14ac:dyDescent="0.25"/>
    <row r="702" spans="1:12" hidden="1" x14ac:dyDescent="0.25"/>
    <row r="703" spans="1:12" hidden="1" x14ac:dyDescent="0.25"/>
    <row r="704" spans="1:12" hidden="1" x14ac:dyDescent="0.25"/>
    <row r="705" spans="1:12" hidden="1" x14ac:dyDescent="0.25"/>
    <row r="706" spans="1:12" hidden="1" x14ac:dyDescent="0.25"/>
    <row r="707" spans="1:12" hidden="1" x14ac:dyDescent="0.25"/>
    <row r="708" spans="1:12" hidden="1" x14ac:dyDescent="0.25"/>
    <row r="709" spans="1:12" hidden="1" x14ac:dyDescent="0.25"/>
    <row r="710" spans="1:12" hidden="1" x14ac:dyDescent="0.25"/>
    <row r="711" spans="1:12" hidden="1" x14ac:dyDescent="0.25"/>
    <row r="712" spans="1:12" ht="18" hidden="1" customHeight="1" x14ac:dyDescent="0.25">
      <c r="A712" s="26" t="s">
        <v>537</v>
      </c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</row>
    <row r="713" spans="1:12" hidden="1" x14ac:dyDescent="0.25">
      <c r="A713" s="7" t="s">
        <v>487</v>
      </c>
    </row>
    <row r="714" spans="1:12" hidden="1" x14ac:dyDescent="0.25"/>
    <row r="715" spans="1:12" hidden="1" x14ac:dyDescent="0.25"/>
    <row r="716" spans="1:12" hidden="1" x14ac:dyDescent="0.25"/>
    <row r="717" spans="1:12" hidden="1" x14ac:dyDescent="0.25"/>
    <row r="718" spans="1:12" hidden="1" x14ac:dyDescent="0.25"/>
    <row r="719" spans="1:12" hidden="1" x14ac:dyDescent="0.25"/>
    <row r="720" spans="1:12" hidden="1" x14ac:dyDescent="0.25"/>
    <row r="721" spans="1:12" hidden="1" x14ac:dyDescent="0.25"/>
    <row r="722" spans="1:12" hidden="1" x14ac:dyDescent="0.25"/>
    <row r="723" spans="1:12" hidden="1" x14ac:dyDescent="0.25"/>
    <row r="724" spans="1:12" hidden="1" x14ac:dyDescent="0.25"/>
    <row r="725" spans="1:12" hidden="1" x14ac:dyDescent="0.25"/>
    <row r="726" spans="1:12" hidden="1" x14ac:dyDescent="0.25"/>
    <row r="727" spans="1:12" hidden="1" x14ac:dyDescent="0.25"/>
    <row r="728" spans="1:12" hidden="1" x14ac:dyDescent="0.25"/>
    <row r="729" spans="1:12" hidden="1" x14ac:dyDescent="0.25"/>
    <row r="730" spans="1:12" ht="18" hidden="1" customHeight="1" x14ac:dyDescent="0.25">
      <c r="A730" s="26" t="s">
        <v>539</v>
      </c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</row>
    <row r="731" spans="1:12" hidden="1" x14ac:dyDescent="0.25">
      <c r="A731" s="7" t="s">
        <v>487</v>
      </c>
    </row>
    <row r="732" spans="1:12" hidden="1" x14ac:dyDescent="0.25"/>
    <row r="733" spans="1:12" hidden="1" x14ac:dyDescent="0.25"/>
    <row r="734" spans="1:12" hidden="1" x14ac:dyDescent="0.25"/>
    <row r="735" spans="1:12" hidden="1" x14ac:dyDescent="0.25"/>
    <row r="736" spans="1:12" hidden="1" x14ac:dyDescent="0.25"/>
    <row r="737" spans="1:12" hidden="1" x14ac:dyDescent="0.25"/>
    <row r="738" spans="1:12" hidden="1" x14ac:dyDescent="0.25"/>
    <row r="739" spans="1:12" hidden="1" x14ac:dyDescent="0.25"/>
    <row r="740" spans="1:12" hidden="1" x14ac:dyDescent="0.25"/>
    <row r="741" spans="1:12" hidden="1" x14ac:dyDescent="0.25"/>
    <row r="742" spans="1:12" hidden="1" x14ac:dyDescent="0.25"/>
    <row r="743" spans="1:12" hidden="1" x14ac:dyDescent="0.25"/>
    <row r="744" spans="1:12" hidden="1" x14ac:dyDescent="0.25"/>
    <row r="745" spans="1:12" hidden="1" x14ac:dyDescent="0.25"/>
    <row r="746" spans="1:12" hidden="1" x14ac:dyDescent="0.25"/>
    <row r="747" spans="1:12" hidden="1" x14ac:dyDescent="0.25"/>
    <row r="748" spans="1:12" ht="18" hidden="1" customHeight="1" x14ac:dyDescent="0.25">
      <c r="A748" s="26" t="s">
        <v>541</v>
      </c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</row>
    <row r="749" spans="1:12" hidden="1" x14ac:dyDescent="0.25">
      <c r="A749" s="7" t="s">
        <v>487</v>
      </c>
    </row>
    <row r="750" spans="1:12" hidden="1" x14ac:dyDescent="0.25"/>
    <row r="751" spans="1:12" hidden="1" x14ac:dyDescent="0.25"/>
    <row r="752" spans="1:12" hidden="1" x14ac:dyDescent="0.25"/>
    <row r="753" spans="1:12" hidden="1" x14ac:dyDescent="0.25"/>
    <row r="754" spans="1:12" hidden="1" x14ac:dyDescent="0.25"/>
    <row r="755" spans="1:12" hidden="1" x14ac:dyDescent="0.25"/>
    <row r="756" spans="1:12" hidden="1" x14ac:dyDescent="0.25"/>
    <row r="757" spans="1:12" hidden="1" x14ac:dyDescent="0.25"/>
    <row r="758" spans="1:12" hidden="1" x14ac:dyDescent="0.25"/>
    <row r="759" spans="1:12" hidden="1" x14ac:dyDescent="0.25"/>
    <row r="760" spans="1:12" hidden="1" x14ac:dyDescent="0.25"/>
    <row r="761" spans="1:12" hidden="1" x14ac:dyDescent="0.25"/>
    <row r="762" spans="1:12" hidden="1" x14ac:dyDescent="0.25"/>
    <row r="763" spans="1:12" hidden="1" x14ac:dyDescent="0.25"/>
    <row r="764" spans="1:12" hidden="1" x14ac:dyDescent="0.25"/>
    <row r="765" spans="1:12" hidden="1" x14ac:dyDescent="0.25"/>
    <row r="767" spans="1:12" ht="21.95" customHeight="1" x14ac:dyDescent="0.25">
      <c r="A767" s="25" t="s">
        <v>542</v>
      </c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</row>
    <row r="768" spans="1:12" x14ac:dyDescent="0.25">
      <c r="A768" s="7" t="s">
        <v>543</v>
      </c>
    </row>
    <row r="769" spans="1:6" x14ac:dyDescent="0.25">
      <c r="A769" s="8" t="s">
        <v>264</v>
      </c>
      <c r="B769" s="8" t="s">
        <v>118</v>
      </c>
      <c r="C769" s="8" t="s">
        <v>119</v>
      </c>
      <c r="D769" s="8" t="s">
        <v>120</v>
      </c>
      <c r="E769" s="8" t="s">
        <v>121</v>
      </c>
      <c r="F769" s="8" t="s">
        <v>123</v>
      </c>
    </row>
    <row r="770" spans="1:6" ht="20.100000000000001" customHeight="1" x14ac:dyDescent="0.25">
      <c r="A770" s="11" t="s">
        <v>50</v>
      </c>
      <c r="B770" s="9">
        <v>44121</v>
      </c>
      <c r="C770" s="10">
        <v>28</v>
      </c>
      <c r="D770" s="11" t="s">
        <v>202</v>
      </c>
      <c r="E770" s="11" t="s">
        <v>544</v>
      </c>
      <c r="F770" s="12" t="s">
        <v>258</v>
      </c>
    </row>
    <row r="771" spans="1:6" ht="20.100000000000001" customHeight="1" x14ac:dyDescent="0.25">
      <c r="A771" s="15" t="s">
        <v>68</v>
      </c>
      <c r="B771" s="13">
        <v>45805</v>
      </c>
      <c r="C771" s="14">
        <v>672</v>
      </c>
      <c r="D771" s="15" t="s">
        <v>291</v>
      </c>
      <c r="E771" s="15" t="s">
        <v>292</v>
      </c>
      <c r="F771" s="16" t="s">
        <v>193</v>
      </c>
    </row>
    <row r="772" spans="1:6" ht="20.100000000000001" customHeight="1" x14ac:dyDescent="0.25">
      <c r="A772" s="11" t="s">
        <v>545</v>
      </c>
      <c r="B772" s="9">
        <v>44623</v>
      </c>
      <c r="C772" s="10">
        <v>7.4930000000000003</v>
      </c>
      <c r="D772" s="11" t="s">
        <v>307</v>
      </c>
      <c r="E772" s="11" t="s">
        <v>546</v>
      </c>
      <c r="F772" s="12" t="s">
        <v>191</v>
      </c>
    </row>
    <row r="773" spans="1:6" ht="20.100000000000001" customHeight="1" x14ac:dyDescent="0.25">
      <c r="A773" s="15" t="s">
        <v>335</v>
      </c>
      <c r="B773" s="13">
        <v>44121</v>
      </c>
      <c r="C773" s="15" t="s">
        <v>336</v>
      </c>
      <c r="D773" s="15"/>
      <c r="E773" s="15" t="s">
        <v>547</v>
      </c>
      <c r="F773" s="16" t="s">
        <v>185</v>
      </c>
    </row>
    <row r="774" spans="1:6" ht="20.100000000000001" customHeight="1" x14ac:dyDescent="0.25">
      <c r="A774" s="11" t="s">
        <v>337</v>
      </c>
      <c r="B774" s="9">
        <v>44306</v>
      </c>
      <c r="C774" s="11" t="s">
        <v>338</v>
      </c>
      <c r="D774" s="11"/>
      <c r="E774" s="11" t="s">
        <v>548</v>
      </c>
      <c r="F774" s="12" t="s">
        <v>127</v>
      </c>
    </row>
    <row r="775" spans="1:6" ht="20.100000000000001" customHeight="1" x14ac:dyDescent="0.25">
      <c r="A775" s="15" t="s">
        <v>339</v>
      </c>
      <c r="B775" s="13">
        <v>44306</v>
      </c>
      <c r="C775" s="15" t="s">
        <v>340</v>
      </c>
      <c r="D775" s="15"/>
      <c r="E775" s="15" t="s">
        <v>549</v>
      </c>
      <c r="F775" s="16" t="s">
        <v>127</v>
      </c>
    </row>
    <row r="776" spans="1:6" ht="20.100000000000001" customHeight="1" x14ac:dyDescent="0.25">
      <c r="A776" s="11" t="s">
        <v>341</v>
      </c>
      <c r="B776" s="9">
        <v>44306</v>
      </c>
      <c r="C776" s="11" t="s">
        <v>342</v>
      </c>
      <c r="D776" s="11"/>
      <c r="E776" s="11" t="s">
        <v>550</v>
      </c>
      <c r="F776" s="12" t="s">
        <v>127</v>
      </c>
    </row>
    <row r="777" spans="1:6" ht="20.100000000000001" customHeight="1" x14ac:dyDescent="0.25">
      <c r="A777" s="15" t="s">
        <v>343</v>
      </c>
      <c r="B777" s="13">
        <v>44306</v>
      </c>
      <c r="C777" s="15" t="s">
        <v>344</v>
      </c>
      <c r="D777" s="15"/>
      <c r="E777" s="15" t="s">
        <v>551</v>
      </c>
      <c r="F777" s="16" t="s">
        <v>127</v>
      </c>
    </row>
    <row r="778" spans="1:6" ht="20.100000000000001" customHeight="1" x14ac:dyDescent="0.25">
      <c r="A778" s="11" t="s">
        <v>346</v>
      </c>
      <c r="B778" s="9">
        <v>44623</v>
      </c>
      <c r="C778" s="11" t="s">
        <v>347</v>
      </c>
      <c r="D778" s="11"/>
      <c r="E778" s="11" t="s">
        <v>552</v>
      </c>
      <c r="F778" s="12" t="s">
        <v>191</v>
      </c>
    </row>
    <row r="779" spans="1:6" ht="20.100000000000001" customHeight="1" x14ac:dyDescent="0.25">
      <c r="A779" s="15" t="s">
        <v>348</v>
      </c>
      <c r="B779" s="13">
        <v>45580</v>
      </c>
      <c r="C779" s="15" t="s">
        <v>349</v>
      </c>
      <c r="D779" s="15"/>
      <c r="E779" s="15" t="s">
        <v>553</v>
      </c>
      <c r="F779" s="16" t="s">
        <v>132</v>
      </c>
    </row>
    <row r="780" spans="1:6" ht="20.100000000000001" customHeight="1" x14ac:dyDescent="0.25">
      <c r="A780" s="11" t="s">
        <v>351</v>
      </c>
      <c r="B780" s="9">
        <v>45580</v>
      </c>
      <c r="C780" s="11" t="s">
        <v>352</v>
      </c>
      <c r="D780" s="11"/>
      <c r="E780" s="11" t="s">
        <v>554</v>
      </c>
      <c r="F780" s="12" t="s">
        <v>132</v>
      </c>
    </row>
    <row r="781" spans="1:6" ht="20.100000000000001" customHeight="1" x14ac:dyDescent="0.25">
      <c r="A781" s="15" t="s">
        <v>353</v>
      </c>
      <c r="B781" s="13">
        <v>45580</v>
      </c>
      <c r="C781" s="15" t="s">
        <v>354</v>
      </c>
      <c r="D781" s="15"/>
      <c r="E781" s="15" t="s">
        <v>555</v>
      </c>
      <c r="F781" s="16" t="s">
        <v>132</v>
      </c>
    </row>
    <row r="782" spans="1:6" ht="20.100000000000001" customHeight="1" x14ac:dyDescent="0.25">
      <c r="A782" s="11" t="s">
        <v>355</v>
      </c>
      <c r="B782" s="9">
        <v>45580</v>
      </c>
      <c r="C782" s="11" t="s">
        <v>356</v>
      </c>
      <c r="D782" s="11"/>
      <c r="E782" s="11" t="s">
        <v>556</v>
      </c>
      <c r="F782" s="12" t="s">
        <v>132</v>
      </c>
    </row>
    <row r="783" spans="1:6" ht="20.100000000000001" customHeight="1" x14ac:dyDescent="0.25">
      <c r="A783" s="15" t="s">
        <v>357</v>
      </c>
      <c r="B783" s="13">
        <v>45580</v>
      </c>
      <c r="C783" s="15" t="s">
        <v>358</v>
      </c>
      <c r="D783" s="15"/>
      <c r="E783" s="15" t="s">
        <v>556</v>
      </c>
      <c r="F783" s="16" t="s">
        <v>132</v>
      </c>
    </row>
    <row r="784" spans="1:6" ht="20.100000000000001" customHeight="1" x14ac:dyDescent="0.25">
      <c r="A784" s="11" t="s">
        <v>359</v>
      </c>
      <c r="B784" s="9">
        <v>45580</v>
      </c>
      <c r="C784" s="11" t="s">
        <v>360</v>
      </c>
      <c r="D784" s="11"/>
      <c r="E784" s="11" t="s">
        <v>557</v>
      </c>
      <c r="F784" s="12" t="s">
        <v>132</v>
      </c>
    </row>
    <row r="785" spans="1:6" ht="20.100000000000001" customHeight="1" x14ac:dyDescent="0.25">
      <c r="A785" s="15" t="s">
        <v>361</v>
      </c>
      <c r="B785" s="13">
        <v>45580</v>
      </c>
      <c r="C785" s="15" t="s">
        <v>362</v>
      </c>
      <c r="D785" s="15"/>
      <c r="E785" s="15" t="s">
        <v>558</v>
      </c>
      <c r="F785" s="16" t="s">
        <v>132</v>
      </c>
    </row>
    <row r="786" spans="1:6" ht="20.100000000000001" customHeight="1" x14ac:dyDescent="0.25">
      <c r="A786" s="11" t="s">
        <v>363</v>
      </c>
      <c r="B786" s="9">
        <v>45580</v>
      </c>
      <c r="C786" s="11" t="s">
        <v>364</v>
      </c>
      <c r="D786" s="11"/>
      <c r="E786" s="11" t="s">
        <v>559</v>
      </c>
      <c r="F786" s="12" t="s">
        <v>132</v>
      </c>
    </row>
    <row r="787" spans="1:6" ht="20.100000000000001" customHeight="1" x14ac:dyDescent="0.25">
      <c r="A787" s="15" t="s">
        <v>365</v>
      </c>
      <c r="B787" s="13">
        <v>45580</v>
      </c>
      <c r="C787" s="15" t="s">
        <v>366</v>
      </c>
      <c r="D787" s="15"/>
      <c r="E787" s="15" t="s">
        <v>560</v>
      </c>
      <c r="F787" s="16" t="s">
        <v>132</v>
      </c>
    </row>
    <row r="788" spans="1:6" ht="20.100000000000001" customHeight="1" x14ac:dyDescent="0.25">
      <c r="A788" s="11" t="s">
        <v>368</v>
      </c>
      <c r="B788" s="9">
        <v>45805</v>
      </c>
      <c r="C788" s="11" t="s">
        <v>369</v>
      </c>
      <c r="D788" s="11"/>
      <c r="E788" s="11" t="s">
        <v>561</v>
      </c>
      <c r="F788" s="12" t="s">
        <v>193</v>
      </c>
    </row>
    <row r="789" spans="1:6" ht="20.100000000000001" customHeight="1" x14ac:dyDescent="0.25">
      <c r="A789" s="15" t="s">
        <v>370</v>
      </c>
      <c r="B789" s="13">
        <v>45805</v>
      </c>
      <c r="C789" s="15" t="s">
        <v>371</v>
      </c>
      <c r="D789" s="15"/>
      <c r="E789" s="15" t="s">
        <v>562</v>
      </c>
      <c r="F789" s="16" t="s">
        <v>193</v>
      </c>
    </row>
    <row r="790" spans="1:6" ht="20.100000000000001" customHeight="1" x14ac:dyDescent="0.25">
      <c r="A790" s="11" t="s">
        <v>372</v>
      </c>
      <c r="B790" s="9">
        <v>45805</v>
      </c>
      <c r="C790" s="11" t="s">
        <v>373</v>
      </c>
      <c r="D790" s="11"/>
      <c r="E790" s="11" t="s">
        <v>563</v>
      </c>
      <c r="F790" s="12" t="s">
        <v>193</v>
      </c>
    </row>
    <row r="791" spans="1:6" ht="20.100000000000001" customHeight="1" x14ac:dyDescent="0.25">
      <c r="A791" s="15" t="s">
        <v>374</v>
      </c>
      <c r="B791" s="13">
        <v>45805</v>
      </c>
      <c r="C791" s="15" t="s">
        <v>375</v>
      </c>
      <c r="D791" s="15"/>
      <c r="E791" s="15" t="s">
        <v>564</v>
      </c>
      <c r="F791" s="16" t="s">
        <v>193</v>
      </c>
    </row>
    <row r="792" spans="1:6" ht="20.100000000000001" customHeight="1" x14ac:dyDescent="0.25">
      <c r="A792" s="11" t="s">
        <v>376</v>
      </c>
      <c r="B792" s="9">
        <v>45805</v>
      </c>
      <c r="C792" s="11" t="s">
        <v>377</v>
      </c>
      <c r="D792" s="11"/>
      <c r="E792" s="11" t="s">
        <v>565</v>
      </c>
      <c r="F792" s="12" t="s">
        <v>193</v>
      </c>
    </row>
    <row r="793" spans="1:6" ht="20.100000000000001" customHeight="1" x14ac:dyDescent="0.25">
      <c r="A793" s="15" t="s">
        <v>378</v>
      </c>
      <c r="B793" s="13">
        <v>45866</v>
      </c>
      <c r="C793" s="15" t="s">
        <v>379</v>
      </c>
      <c r="D793" s="15"/>
      <c r="E793" s="15" t="s">
        <v>566</v>
      </c>
      <c r="F793" s="16" t="s">
        <v>134</v>
      </c>
    </row>
    <row r="794" spans="1:6" ht="20.100000000000001" customHeight="1" x14ac:dyDescent="0.25">
      <c r="A794" s="11" t="s">
        <v>380</v>
      </c>
      <c r="B794" s="9">
        <v>45866</v>
      </c>
      <c r="C794" s="11" t="s">
        <v>381</v>
      </c>
      <c r="D794" s="11"/>
      <c r="E794" s="11" t="s">
        <v>567</v>
      </c>
      <c r="F794" s="12" t="s">
        <v>134</v>
      </c>
    </row>
    <row r="795" spans="1:6" ht="20.100000000000001" customHeight="1" x14ac:dyDescent="0.25">
      <c r="A795" s="15" t="s">
        <v>382</v>
      </c>
      <c r="B795" s="13">
        <v>45866</v>
      </c>
      <c r="C795" s="15" t="s">
        <v>383</v>
      </c>
      <c r="D795" s="15"/>
      <c r="E795" s="15" t="s">
        <v>568</v>
      </c>
      <c r="F795" s="16" t="s">
        <v>134</v>
      </c>
    </row>
    <row r="796" spans="1:6" ht="20.100000000000001" customHeight="1" x14ac:dyDescent="0.25">
      <c r="A796" s="11" t="s">
        <v>385</v>
      </c>
      <c r="B796" s="9">
        <v>46246</v>
      </c>
      <c r="C796" s="11" t="s">
        <v>386</v>
      </c>
      <c r="D796" s="11"/>
      <c r="E796" s="11" t="s">
        <v>569</v>
      </c>
      <c r="F796" s="12" t="s">
        <v>144</v>
      </c>
    </row>
    <row r="797" spans="1:6" ht="20.100000000000001" customHeight="1" x14ac:dyDescent="0.25">
      <c r="A797" s="15" t="s">
        <v>387</v>
      </c>
      <c r="B797" s="13">
        <v>46246</v>
      </c>
      <c r="C797" s="15" t="s">
        <v>388</v>
      </c>
      <c r="D797" s="15"/>
      <c r="E797" s="15" t="s">
        <v>570</v>
      </c>
      <c r="F797" s="16" t="s">
        <v>144</v>
      </c>
    </row>
  </sheetData>
  <mergeCells count="51">
    <mergeCell ref="A767:L767"/>
    <mergeCell ref="A676:L676"/>
    <mergeCell ref="A694:L694"/>
    <mergeCell ref="A712:L712"/>
    <mergeCell ref="A730:L730"/>
    <mergeCell ref="A748:L748"/>
    <mergeCell ref="A586:L586"/>
    <mergeCell ref="A604:L604"/>
    <mergeCell ref="A622:L622"/>
    <mergeCell ref="A640:L640"/>
    <mergeCell ref="A658:L658"/>
    <mergeCell ref="A513:L513"/>
    <mergeCell ref="A531:L531"/>
    <mergeCell ref="A532:L532"/>
    <mergeCell ref="A550:L550"/>
    <mergeCell ref="A568:L568"/>
    <mergeCell ref="A440:L440"/>
    <mergeCell ref="A441:L441"/>
    <mergeCell ref="A459:L459"/>
    <mergeCell ref="A477:L477"/>
    <mergeCell ref="A495:L495"/>
    <mergeCell ref="A350:L350"/>
    <mergeCell ref="A368:L368"/>
    <mergeCell ref="A386:L386"/>
    <mergeCell ref="A404:L404"/>
    <mergeCell ref="A422:L422"/>
    <mergeCell ref="A260:L260"/>
    <mergeCell ref="A278:L278"/>
    <mergeCell ref="A296:L296"/>
    <mergeCell ref="A314:L314"/>
    <mergeCell ref="A332:L332"/>
    <mergeCell ref="A170:L170"/>
    <mergeCell ref="A188:L188"/>
    <mergeCell ref="A206:L206"/>
    <mergeCell ref="A224:L224"/>
    <mergeCell ref="A242:L242"/>
    <mergeCell ref="A114:L114"/>
    <mergeCell ref="A132:L132"/>
    <mergeCell ref="A133:L133"/>
    <mergeCell ref="A151:L151"/>
    <mergeCell ref="A169:L169"/>
    <mergeCell ref="A41:L41"/>
    <mergeCell ref="A59:L59"/>
    <mergeCell ref="A77:L77"/>
    <mergeCell ref="A95:L95"/>
    <mergeCell ref="A113:L113"/>
    <mergeCell ref="A1:L1"/>
    <mergeCell ref="A2:L2"/>
    <mergeCell ref="A4:L4"/>
    <mergeCell ref="A5:L5"/>
    <mergeCell ref="A23:L23"/>
  </mergeCells>
  <pageMargins left="0.4" right="0.4" top="0.45" bottom="0.45" header="0.3" footer="0.3"/>
  <pageSetup paperSize="9" fitToHeight="0" orientation="landscape"/>
  <headerFooter>
    <oddHeader>&amp;CCecília — gráficos × faixa do laudo</oddHeader>
    <oddFooter>&amp;LBarra = faixa naquela data  ·  verde dentro  ·  vermelho fora&amp;R&amp;P / &amp;N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G29"/>
  <sheetViews>
    <sheetView workbookViewId="0"/>
  </sheetViews>
  <sheetFormatPr defaultRowHeight="15" x14ac:dyDescent="0.25"/>
  <sheetData>
    <row r="1" spans="1:7" x14ac:dyDescent="0.25">
      <c r="A1" t="s">
        <v>571</v>
      </c>
      <c r="B1" t="s">
        <v>572</v>
      </c>
      <c r="C1" t="s">
        <v>573</v>
      </c>
      <c r="D1" t="s">
        <v>574</v>
      </c>
      <c r="E1" t="s">
        <v>575</v>
      </c>
      <c r="F1" t="s">
        <v>576</v>
      </c>
      <c r="G1" t="s">
        <v>577</v>
      </c>
    </row>
    <row r="2" spans="1:7" x14ac:dyDescent="0.25">
      <c r="A2" t="s">
        <v>50</v>
      </c>
      <c r="B2" s="20">
        <v>44121</v>
      </c>
      <c r="C2">
        <v>28</v>
      </c>
      <c r="D2" t="s">
        <v>202</v>
      </c>
      <c r="E2" t="s">
        <v>544</v>
      </c>
      <c r="F2" t="s">
        <v>258</v>
      </c>
      <c r="G2">
        <v>26</v>
      </c>
    </row>
    <row r="3" spans="1:7" x14ac:dyDescent="0.25">
      <c r="A3" t="s">
        <v>68</v>
      </c>
      <c r="B3" s="20">
        <v>45805</v>
      </c>
      <c r="C3">
        <v>672</v>
      </c>
      <c r="D3" t="s">
        <v>291</v>
      </c>
      <c r="E3" t="s">
        <v>292</v>
      </c>
      <c r="F3" t="s">
        <v>193</v>
      </c>
      <c r="G3">
        <v>34</v>
      </c>
    </row>
    <row r="4" spans="1:7" x14ac:dyDescent="0.25">
      <c r="A4" t="s">
        <v>545</v>
      </c>
      <c r="B4" s="20">
        <v>44623</v>
      </c>
      <c r="C4">
        <v>7.4930000000000003</v>
      </c>
      <c r="D4" t="s">
        <v>307</v>
      </c>
      <c r="E4" t="s">
        <v>546</v>
      </c>
      <c r="F4" t="s">
        <v>191</v>
      </c>
      <c r="G4">
        <v>38</v>
      </c>
    </row>
    <row r="5" spans="1:7" x14ac:dyDescent="0.25">
      <c r="A5" t="s">
        <v>335</v>
      </c>
      <c r="B5" s="20">
        <v>44121</v>
      </c>
      <c r="C5" t="s">
        <v>336</v>
      </c>
      <c r="E5" t="s">
        <v>547</v>
      </c>
      <c r="F5" t="s">
        <v>185</v>
      </c>
      <c r="G5">
        <v>47</v>
      </c>
    </row>
    <row r="6" spans="1:7" x14ac:dyDescent="0.25">
      <c r="A6" t="s">
        <v>337</v>
      </c>
      <c r="B6" s="20">
        <v>44306</v>
      </c>
      <c r="C6" t="s">
        <v>338</v>
      </c>
      <c r="E6" t="s">
        <v>548</v>
      </c>
      <c r="F6" t="s">
        <v>127</v>
      </c>
      <c r="G6">
        <v>47</v>
      </c>
    </row>
    <row r="7" spans="1:7" x14ac:dyDescent="0.25">
      <c r="A7" t="s">
        <v>339</v>
      </c>
      <c r="B7" s="20">
        <v>44306</v>
      </c>
      <c r="C7" t="s">
        <v>340</v>
      </c>
      <c r="E7" t="s">
        <v>549</v>
      </c>
      <c r="F7" t="s">
        <v>127</v>
      </c>
      <c r="G7">
        <v>47</v>
      </c>
    </row>
    <row r="8" spans="1:7" x14ac:dyDescent="0.25">
      <c r="A8" t="s">
        <v>341</v>
      </c>
      <c r="B8" s="20">
        <v>44306</v>
      </c>
      <c r="C8" t="s">
        <v>342</v>
      </c>
      <c r="E8" t="s">
        <v>550</v>
      </c>
      <c r="F8" t="s">
        <v>127</v>
      </c>
      <c r="G8">
        <v>47</v>
      </c>
    </row>
    <row r="9" spans="1:7" x14ac:dyDescent="0.25">
      <c r="A9" t="s">
        <v>343</v>
      </c>
      <c r="B9" s="20">
        <v>44306</v>
      </c>
      <c r="C9" t="s">
        <v>344</v>
      </c>
      <c r="E9" t="s">
        <v>551</v>
      </c>
      <c r="F9" t="s">
        <v>127</v>
      </c>
      <c r="G9">
        <v>47</v>
      </c>
    </row>
    <row r="10" spans="1:7" x14ac:dyDescent="0.25">
      <c r="A10" t="s">
        <v>346</v>
      </c>
      <c r="B10" s="20">
        <v>44623</v>
      </c>
      <c r="C10" t="s">
        <v>347</v>
      </c>
      <c r="E10" t="s">
        <v>552</v>
      </c>
      <c r="F10" t="s">
        <v>191</v>
      </c>
      <c r="G10">
        <v>47</v>
      </c>
    </row>
    <row r="11" spans="1:7" x14ac:dyDescent="0.25">
      <c r="A11" t="s">
        <v>348</v>
      </c>
      <c r="B11" s="20">
        <v>45580</v>
      </c>
      <c r="C11" t="s">
        <v>349</v>
      </c>
      <c r="E11" t="s">
        <v>553</v>
      </c>
      <c r="F11" t="s">
        <v>132</v>
      </c>
      <c r="G11">
        <v>47</v>
      </c>
    </row>
    <row r="12" spans="1:7" x14ac:dyDescent="0.25">
      <c r="A12" t="s">
        <v>351</v>
      </c>
      <c r="B12" s="20">
        <v>45580</v>
      </c>
      <c r="C12" t="s">
        <v>352</v>
      </c>
      <c r="E12" t="s">
        <v>554</v>
      </c>
      <c r="F12" t="s">
        <v>132</v>
      </c>
      <c r="G12">
        <v>47</v>
      </c>
    </row>
    <row r="13" spans="1:7" x14ac:dyDescent="0.25">
      <c r="A13" t="s">
        <v>353</v>
      </c>
      <c r="B13" s="20">
        <v>45580</v>
      </c>
      <c r="C13" t="s">
        <v>354</v>
      </c>
      <c r="E13" t="s">
        <v>555</v>
      </c>
      <c r="F13" t="s">
        <v>132</v>
      </c>
      <c r="G13">
        <v>47</v>
      </c>
    </row>
    <row r="14" spans="1:7" x14ac:dyDescent="0.25">
      <c r="A14" t="s">
        <v>355</v>
      </c>
      <c r="B14" s="20">
        <v>45580</v>
      </c>
      <c r="C14" t="s">
        <v>356</v>
      </c>
      <c r="E14" t="s">
        <v>556</v>
      </c>
      <c r="F14" t="s">
        <v>132</v>
      </c>
      <c r="G14">
        <v>47</v>
      </c>
    </row>
    <row r="15" spans="1:7" x14ac:dyDescent="0.25">
      <c r="A15" t="s">
        <v>357</v>
      </c>
      <c r="B15" s="20">
        <v>45580</v>
      </c>
      <c r="C15" t="s">
        <v>358</v>
      </c>
      <c r="E15" t="s">
        <v>556</v>
      </c>
      <c r="F15" t="s">
        <v>132</v>
      </c>
      <c r="G15">
        <v>47</v>
      </c>
    </row>
    <row r="16" spans="1:7" x14ac:dyDescent="0.25">
      <c r="A16" t="s">
        <v>359</v>
      </c>
      <c r="B16" s="20">
        <v>45580</v>
      </c>
      <c r="C16" t="s">
        <v>360</v>
      </c>
      <c r="E16" t="s">
        <v>557</v>
      </c>
      <c r="F16" t="s">
        <v>132</v>
      </c>
      <c r="G16">
        <v>47</v>
      </c>
    </row>
    <row r="17" spans="1:7" x14ac:dyDescent="0.25">
      <c r="A17" t="s">
        <v>361</v>
      </c>
      <c r="B17" s="20">
        <v>45580</v>
      </c>
      <c r="C17" t="s">
        <v>362</v>
      </c>
      <c r="E17" t="s">
        <v>558</v>
      </c>
      <c r="F17" t="s">
        <v>132</v>
      </c>
      <c r="G17">
        <v>47</v>
      </c>
    </row>
    <row r="18" spans="1:7" x14ac:dyDescent="0.25">
      <c r="A18" t="s">
        <v>363</v>
      </c>
      <c r="B18" s="20">
        <v>45580</v>
      </c>
      <c r="C18" t="s">
        <v>364</v>
      </c>
      <c r="E18" t="s">
        <v>559</v>
      </c>
      <c r="F18" t="s">
        <v>132</v>
      </c>
      <c r="G18">
        <v>47</v>
      </c>
    </row>
    <row r="19" spans="1:7" x14ac:dyDescent="0.25">
      <c r="A19" t="s">
        <v>365</v>
      </c>
      <c r="B19" s="20">
        <v>45580</v>
      </c>
      <c r="C19" t="s">
        <v>366</v>
      </c>
      <c r="E19" t="s">
        <v>560</v>
      </c>
      <c r="F19" t="s">
        <v>132</v>
      </c>
      <c r="G19">
        <v>47</v>
      </c>
    </row>
    <row r="20" spans="1:7" x14ac:dyDescent="0.25">
      <c r="A20" t="s">
        <v>368</v>
      </c>
      <c r="B20" s="20">
        <v>45805</v>
      </c>
      <c r="C20" t="s">
        <v>369</v>
      </c>
      <c r="E20" t="s">
        <v>561</v>
      </c>
      <c r="F20" t="s">
        <v>193</v>
      </c>
      <c r="G20">
        <v>47</v>
      </c>
    </row>
    <row r="21" spans="1:7" x14ac:dyDescent="0.25">
      <c r="A21" t="s">
        <v>370</v>
      </c>
      <c r="B21" s="20">
        <v>45805</v>
      </c>
      <c r="C21" t="s">
        <v>371</v>
      </c>
      <c r="E21" t="s">
        <v>562</v>
      </c>
      <c r="F21" t="s">
        <v>193</v>
      </c>
      <c r="G21">
        <v>47</v>
      </c>
    </row>
    <row r="22" spans="1:7" x14ac:dyDescent="0.25">
      <c r="A22" t="s">
        <v>372</v>
      </c>
      <c r="B22" s="20">
        <v>45805</v>
      </c>
      <c r="C22" t="s">
        <v>373</v>
      </c>
      <c r="E22" t="s">
        <v>563</v>
      </c>
      <c r="F22" t="s">
        <v>193</v>
      </c>
      <c r="G22">
        <v>47</v>
      </c>
    </row>
    <row r="23" spans="1:7" x14ac:dyDescent="0.25">
      <c r="A23" t="s">
        <v>374</v>
      </c>
      <c r="B23" s="20">
        <v>45805</v>
      </c>
      <c r="C23" t="s">
        <v>375</v>
      </c>
      <c r="E23" t="s">
        <v>564</v>
      </c>
      <c r="F23" t="s">
        <v>193</v>
      </c>
      <c r="G23">
        <v>47</v>
      </c>
    </row>
    <row r="24" spans="1:7" x14ac:dyDescent="0.25">
      <c r="A24" t="s">
        <v>376</v>
      </c>
      <c r="B24" s="20">
        <v>45805</v>
      </c>
      <c r="C24" t="s">
        <v>377</v>
      </c>
      <c r="E24" t="s">
        <v>565</v>
      </c>
      <c r="F24" t="s">
        <v>193</v>
      </c>
      <c r="G24">
        <v>47</v>
      </c>
    </row>
    <row r="25" spans="1:7" x14ac:dyDescent="0.25">
      <c r="A25" t="s">
        <v>378</v>
      </c>
      <c r="B25" s="20">
        <v>45866</v>
      </c>
      <c r="C25" t="s">
        <v>379</v>
      </c>
      <c r="E25" t="s">
        <v>566</v>
      </c>
      <c r="F25" t="s">
        <v>134</v>
      </c>
      <c r="G25">
        <v>47</v>
      </c>
    </row>
    <row r="26" spans="1:7" x14ac:dyDescent="0.25">
      <c r="A26" t="s">
        <v>380</v>
      </c>
      <c r="B26" s="20">
        <v>45866</v>
      </c>
      <c r="C26" t="s">
        <v>381</v>
      </c>
      <c r="E26" t="s">
        <v>567</v>
      </c>
      <c r="F26" t="s">
        <v>134</v>
      </c>
      <c r="G26">
        <v>47</v>
      </c>
    </row>
    <row r="27" spans="1:7" x14ac:dyDescent="0.25">
      <c r="A27" t="s">
        <v>382</v>
      </c>
      <c r="B27" s="20">
        <v>45866</v>
      </c>
      <c r="C27" t="s">
        <v>383</v>
      </c>
      <c r="E27" t="s">
        <v>568</v>
      </c>
      <c r="F27" t="s">
        <v>134</v>
      </c>
      <c r="G27">
        <v>47</v>
      </c>
    </row>
    <row r="28" spans="1:7" x14ac:dyDescent="0.25">
      <c r="A28" t="s">
        <v>385</v>
      </c>
      <c r="B28" s="20">
        <v>46246</v>
      </c>
      <c r="C28" t="s">
        <v>386</v>
      </c>
      <c r="E28" t="s">
        <v>569</v>
      </c>
      <c r="F28" t="s">
        <v>144</v>
      </c>
      <c r="G28">
        <v>47</v>
      </c>
    </row>
    <row r="29" spans="1:7" x14ac:dyDescent="0.25">
      <c r="A29" t="s">
        <v>387</v>
      </c>
      <c r="B29" s="20">
        <v>46246</v>
      </c>
      <c r="C29" t="s">
        <v>388</v>
      </c>
      <c r="E29" t="s">
        <v>570</v>
      </c>
      <c r="F29" t="s">
        <v>144</v>
      </c>
      <c r="G29">
        <v>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E51"/>
  <sheetViews>
    <sheetView workbookViewId="0"/>
  </sheetViews>
  <sheetFormatPr defaultRowHeight="15" x14ac:dyDescent="0.25"/>
  <sheetData>
    <row r="1" spans="1:5" x14ac:dyDescent="0.25">
      <c r="A1" t="s">
        <v>577</v>
      </c>
      <c r="B1" t="s">
        <v>578</v>
      </c>
      <c r="C1" t="s">
        <v>579</v>
      </c>
      <c r="D1" t="s">
        <v>580</v>
      </c>
      <c r="E1" t="s">
        <v>581</v>
      </c>
    </row>
    <row r="2" spans="1:5" x14ac:dyDescent="0.25">
      <c r="A2">
        <v>6</v>
      </c>
      <c r="B2">
        <v>4</v>
      </c>
      <c r="C2">
        <v>14</v>
      </c>
      <c r="D2">
        <v>4</v>
      </c>
      <c r="E2">
        <v>22</v>
      </c>
    </row>
    <row r="3" spans="1:5" x14ac:dyDescent="0.25">
      <c r="A3">
        <v>7</v>
      </c>
      <c r="B3">
        <v>15</v>
      </c>
      <c r="C3">
        <v>23</v>
      </c>
      <c r="D3">
        <v>23</v>
      </c>
      <c r="E3">
        <v>40</v>
      </c>
    </row>
    <row r="4" spans="1:5" x14ac:dyDescent="0.25">
      <c r="A4">
        <v>8</v>
      </c>
      <c r="B4">
        <v>24</v>
      </c>
      <c r="C4">
        <v>29</v>
      </c>
      <c r="D4">
        <v>41</v>
      </c>
      <c r="E4">
        <v>58</v>
      </c>
    </row>
    <row r="5" spans="1:5" x14ac:dyDescent="0.25">
      <c r="A5">
        <v>9</v>
      </c>
      <c r="B5">
        <v>30</v>
      </c>
      <c r="C5">
        <v>38</v>
      </c>
      <c r="D5">
        <v>59</v>
      </c>
      <c r="E5">
        <v>112</v>
      </c>
    </row>
    <row r="6" spans="1:5" x14ac:dyDescent="0.25">
      <c r="A6">
        <v>10</v>
      </c>
      <c r="B6">
        <v>39</v>
      </c>
      <c r="C6">
        <v>46</v>
      </c>
      <c r="D6">
        <v>113</v>
      </c>
      <c r="E6">
        <v>131</v>
      </c>
    </row>
    <row r="7" spans="1:5" x14ac:dyDescent="0.25">
      <c r="A7">
        <v>11</v>
      </c>
      <c r="B7">
        <v>47</v>
      </c>
      <c r="C7">
        <v>57</v>
      </c>
      <c r="D7">
        <v>132</v>
      </c>
      <c r="E7">
        <v>150</v>
      </c>
    </row>
    <row r="8" spans="1:5" x14ac:dyDescent="0.25">
      <c r="A8">
        <v>12</v>
      </c>
      <c r="B8">
        <v>58</v>
      </c>
      <c r="C8">
        <v>67</v>
      </c>
      <c r="D8">
        <v>151</v>
      </c>
      <c r="E8">
        <v>168</v>
      </c>
    </row>
    <row r="9" spans="1:5" x14ac:dyDescent="0.25">
      <c r="A9">
        <v>13</v>
      </c>
      <c r="B9">
        <v>68</v>
      </c>
      <c r="C9">
        <v>84</v>
      </c>
      <c r="D9">
        <v>169</v>
      </c>
      <c r="E9">
        <v>187</v>
      </c>
    </row>
    <row r="10" spans="1:5" x14ac:dyDescent="0.25">
      <c r="A10">
        <v>14</v>
      </c>
      <c r="B10">
        <v>85</v>
      </c>
      <c r="C10">
        <v>100</v>
      </c>
      <c r="D10">
        <v>188</v>
      </c>
      <c r="E10">
        <v>205</v>
      </c>
    </row>
    <row r="11" spans="1:5" x14ac:dyDescent="0.25">
      <c r="A11">
        <v>15</v>
      </c>
      <c r="B11">
        <v>101</v>
      </c>
      <c r="C11">
        <v>116</v>
      </c>
      <c r="D11">
        <v>206</v>
      </c>
      <c r="E11">
        <v>223</v>
      </c>
    </row>
    <row r="12" spans="1:5" x14ac:dyDescent="0.25">
      <c r="A12">
        <v>16</v>
      </c>
      <c r="B12">
        <v>117</v>
      </c>
      <c r="C12">
        <v>132</v>
      </c>
      <c r="D12">
        <v>224</v>
      </c>
      <c r="E12">
        <v>241</v>
      </c>
    </row>
    <row r="13" spans="1:5" x14ac:dyDescent="0.25">
      <c r="A13">
        <v>17</v>
      </c>
      <c r="B13">
        <v>133</v>
      </c>
      <c r="C13">
        <v>148</v>
      </c>
      <c r="D13">
        <v>242</v>
      </c>
      <c r="E13">
        <v>277</v>
      </c>
    </row>
    <row r="14" spans="1:5" x14ac:dyDescent="0.25">
      <c r="A14">
        <v>18</v>
      </c>
      <c r="B14">
        <v>149</v>
      </c>
      <c r="C14">
        <v>164</v>
      </c>
      <c r="D14">
        <v>278</v>
      </c>
      <c r="E14">
        <v>295</v>
      </c>
    </row>
    <row r="15" spans="1:5" x14ac:dyDescent="0.25">
      <c r="A15">
        <v>19</v>
      </c>
      <c r="B15">
        <v>165</v>
      </c>
      <c r="C15">
        <v>180</v>
      </c>
      <c r="D15">
        <v>296</v>
      </c>
      <c r="E15">
        <v>313</v>
      </c>
    </row>
    <row r="16" spans="1:5" x14ac:dyDescent="0.25">
      <c r="A16">
        <v>20</v>
      </c>
      <c r="B16">
        <v>181</v>
      </c>
      <c r="C16">
        <v>196</v>
      </c>
      <c r="D16">
        <v>314</v>
      </c>
      <c r="E16">
        <v>331</v>
      </c>
    </row>
    <row r="17" spans="1:5" x14ac:dyDescent="0.25">
      <c r="A17">
        <v>21</v>
      </c>
      <c r="B17">
        <v>197</v>
      </c>
      <c r="C17">
        <v>212</v>
      </c>
      <c r="D17">
        <v>332</v>
      </c>
      <c r="E17">
        <v>349</v>
      </c>
    </row>
    <row r="18" spans="1:5" x14ac:dyDescent="0.25">
      <c r="A18">
        <v>22</v>
      </c>
      <c r="B18">
        <v>213</v>
      </c>
      <c r="C18">
        <v>228</v>
      </c>
      <c r="D18">
        <v>350</v>
      </c>
      <c r="E18">
        <v>367</v>
      </c>
    </row>
    <row r="19" spans="1:5" x14ac:dyDescent="0.25">
      <c r="A19">
        <v>23</v>
      </c>
      <c r="B19">
        <v>229</v>
      </c>
      <c r="C19">
        <v>243</v>
      </c>
      <c r="D19">
        <v>368</v>
      </c>
      <c r="E19">
        <v>385</v>
      </c>
    </row>
    <row r="20" spans="1:5" x14ac:dyDescent="0.25">
      <c r="A20">
        <v>24</v>
      </c>
      <c r="B20">
        <v>244</v>
      </c>
      <c r="C20">
        <v>253</v>
      </c>
      <c r="D20">
        <v>386</v>
      </c>
      <c r="E20">
        <v>403</v>
      </c>
    </row>
    <row r="21" spans="1:5" x14ac:dyDescent="0.25">
      <c r="A21">
        <v>25</v>
      </c>
      <c r="B21">
        <v>254</v>
      </c>
      <c r="C21">
        <v>269</v>
      </c>
      <c r="D21">
        <v>404</v>
      </c>
      <c r="E21">
        <v>421</v>
      </c>
    </row>
    <row r="22" spans="1:5" x14ac:dyDescent="0.25">
      <c r="A22">
        <v>26</v>
      </c>
      <c r="B22">
        <v>270</v>
      </c>
      <c r="C22">
        <v>274</v>
      </c>
      <c r="D22">
        <v>0</v>
      </c>
      <c r="E22">
        <v>0</v>
      </c>
    </row>
    <row r="23" spans="1:5" x14ac:dyDescent="0.25">
      <c r="A23">
        <v>27</v>
      </c>
      <c r="B23">
        <v>275</v>
      </c>
      <c r="C23">
        <v>281</v>
      </c>
      <c r="D23">
        <v>422</v>
      </c>
      <c r="E23">
        <v>439</v>
      </c>
    </row>
    <row r="24" spans="1:5" x14ac:dyDescent="0.25">
      <c r="A24">
        <v>28</v>
      </c>
      <c r="B24">
        <v>282</v>
      </c>
      <c r="C24">
        <v>290</v>
      </c>
      <c r="D24">
        <v>0</v>
      </c>
      <c r="E24">
        <v>0</v>
      </c>
    </row>
    <row r="25" spans="1:5" x14ac:dyDescent="0.25">
      <c r="A25">
        <v>29</v>
      </c>
      <c r="B25">
        <v>291</v>
      </c>
      <c r="C25">
        <v>299</v>
      </c>
      <c r="D25">
        <v>440</v>
      </c>
      <c r="E25">
        <v>458</v>
      </c>
    </row>
    <row r="26" spans="1:5" x14ac:dyDescent="0.25">
      <c r="A26">
        <v>30</v>
      </c>
      <c r="B26">
        <v>300</v>
      </c>
      <c r="C26">
        <v>306</v>
      </c>
      <c r="D26">
        <v>459</v>
      </c>
      <c r="E26">
        <v>476</v>
      </c>
    </row>
    <row r="27" spans="1:5" x14ac:dyDescent="0.25">
      <c r="A27">
        <v>31</v>
      </c>
      <c r="B27">
        <v>307</v>
      </c>
      <c r="C27">
        <v>312</v>
      </c>
      <c r="D27">
        <v>477</v>
      </c>
      <c r="E27">
        <v>494</v>
      </c>
    </row>
    <row r="28" spans="1:5" x14ac:dyDescent="0.25">
      <c r="A28">
        <v>32</v>
      </c>
      <c r="B28">
        <v>313</v>
      </c>
      <c r="C28">
        <v>318</v>
      </c>
      <c r="D28">
        <v>495</v>
      </c>
      <c r="E28">
        <v>512</v>
      </c>
    </row>
    <row r="29" spans="1:5" x14ac:dyDescent="0.25">
      <c r="A29">
        <v>33</v>
      </c>
      <c r="B29">
        <v>319</v>
      </c>
      <c r="C29">
        <v>325</v>
      </c>
      <c r="D29">
        <v>513</v>
      </c>
      <c r="E29">
        <v>530</v>
      </c>
    </row>
    <row r="30" spans="1:5" x14ac:dyDescent="0.25">
      <c r="A30">
        <v>34</v>
      </c>
      <c r="B30">
        <v>326</v>
      </c>
      <c r="C30">
        <v>330</v>
      </c>
      <c r="D30">
        <v>0</v>
      </c>
      <c r="E30">
        <v>0</v>
      </c>
    </row>
    <row r="31" spans="1:5" x14ac:dyDescent="0.25">
      <c r="A31">
        <v>35</v>
      </c>
      <c r="B31">
        <v>331</v>
      </c>
      <c r="C31">
        <v>342</v>
      </c>
      <c r="D31">
        <v>531</v>
      </c>
      <c r="E31">
        <v>549</v>
      </c>
    </row>
    <row r="32" spans="1:5" x14ac:dyDescent="0.25">
      <c r="A32">
        <v>36</v>
      </c>
      <c r="B32">
        <v>343</v>
      </c>
      <c r="C32">
        <v>350</v>
      </c>
      <c r="D32">
        <v>550</v>
      </c>
      <c r="E32">
        <v>585</v>
      </c>
    </row>
    <row r="33" spans="1:5" x14ac:dyDescent="0.25">
      <c r="A33">
        <v>37</v>
      </c>
      <c r="B33">
        <v>351</v>
      </c>
      <c r="C33">
        <v>356</v>
      </c>
      <c r="D33">
        <v>586</v>
      </c>
      <c r="E33">
        <v>603</v>
      </c>
    </row>
    <row r="34" spans="1:5" x14ac:dyDescent="0.25">
      <c r="A34">
        <v>38</v>
      </c>
      <c r="B34">
        <v>357</v>
      </c>
      <c r="C34">
        <v>361</v>
      </c>
      <c r="D34">
        <v>0</v>
      </c>
      <c r="E34">
        <v>0</v>
      </c>
    </row>
    <row r="35" spans="1:5" x14ac:dyDescent="0.25">
      <c r="A35">
        <v>39</v>
      </c>
      <c r="B35">
        <v>362</v>
      </c>
      <c r="C35">
        <v>368</v>
      </c>
      <c r="D35">
        <v>604</v>
      </c>
      <c r="E35">
        <v>621</v>
      </c>
    </row>
    <row r="36" spans="1:5" x14ac:dyDescent="0.25">
      <c r="A36">
        <v>40</v>
      </c>
      <c r="B36">
        <v>369</v>
      </c>
      <c r="C36">
        <v>376</v>
      </c>
      <c r="D36">
        <v>622</v>
      </c>
      <c r="E36">
        <v>639</v>
      </c>
    </row>
    <row r="37" spans="1:5" x14ac:dyDescent="0.25">
      <c r="A37">
        <v>41</v>
      </c>
      <c r="B37">
        <v>377</v>
      </c>
      <c r="C37">
        <v>382</v>
      </c>
      <c r="D37">
        <v>640</v>
      </c>
      <c r="E37">
        <v>657</v>
      </c>
    </row>
    <row r="38" spans="1:5" x14ac:dyDescent="0.25">
      <c r="A38">
        <v>42</v>
      </c>
      <c r="B38">
        <v>383</v>
      </c>
      <c r="C38">
        <v>388</v>
      </c>
      <c r="D38">
        <v>658</v>
      </c>
      <c r="E38">
        <v>675</v>
      </c>
    </row>
    <row r="39" spans="1:5" x14ac:dyDescent="0.25">
      <c r="A39">
        <v>43</v>
      </c>
      <c r="B39">
        <v>389</v>
      </c>
      <c r="C39">
        <v>394</v>
      </c>
      <c r="D39">
        <v>676</v>
      </c>
      <c r="E39">
        <v>693</v>
      </c>
    </row>
    <row r="40" spans="1:5" x14ac:dyDescent="0.25">
      <c r="A40">
        <v>44</v>
      </c>
      <c r="B40">
        <v>395</v>
      </c>
      <c r="C40">
        <v>400</v>
      </c>
      <c r="D40">
        <v>694</v>
      </c>
      <c r="E40">
        <v>711</v>
      </c>
    </row>
    <row r="41" spans="1:5" x14ac:dyDescent="0.25">
      <c r="A41">
        <v>45</v>
      </c>
      <c r="B41">
        <v>401</v>
      </c>
      <c r="C41">
        <v>406</v>
      </c>
      <c r="D41">
        <v>712</v>
      </c>
      <c r="E41">
        <v>729</v>
      </c>
    </row>
    <row r="42" spans="1:5" x14ac:dyDescent="0.25">
      <c r="A42">
        <v>46</v>
      </c>
      <c r="B42">
        <v>407</v>
      </c>
      <c r="C42">
        <v>415</v>
      </c>
      <c r="D42">
        <v>730</v>
      </c>
      <c r="E42">
        <v>765</v>
      </c>
    </row>
    <row r="43" spans="1:5" x14ac:dyDescent="0.25">
      <c r="A43">
        <v>47</v>
      </c>
      <c r="B43">
        <v>416</v>
      </c>
      <c r="C43">
        <v>444</v>
      </c>
      <c r="D43">
        <v>0</v>
      </c>
      <c r="E43">
        <v>0</v>
      </c>
    </row>
    <row r="44" spans="1:5" x14ac:dyDescent="0.25">
      <c r="A44">
        <v>48</v>
      </c>
      <c r="B44">
        <v>445</v>
      </c>
      <c r="C44">
        <v>453</v>
      </c>
      <c r="D44">
        <v>0</v>
      </c>
      <c r="E44">
        <v>0</v>
      </c>
    </row>
    <row r="45" spans="1:5" x14ac:dyDescent="0.25">
      <c r="A45">
        <v>49</v>
      </c>
      <c r="B45">
        <v>454</v>
      </c>
      <c r="C45">
        <v>460</v>
      </c>
      <c r="D45">
        <v>0</v>
      </c>
      <c r="E45">
        <v>0</v>
      </c>
    </row>
    <row r="46" spans="1:5" x14ac:dyDescent="0.25">
      <c r="A46">
        <v>50</v>
      </c>
      <c r="B46">
        <v>461</v>
      </c>
      <c r="C46">
        <v>470</v>
      </c>
      <c r="D46">
        <v>0</v>
      </c>
      <c r="E46">
        <v>0</v>
      </c>
    </row>
    <row r="47" spans="1:5" x14ac:dyDescent="0.25">
      <c r="A47">
        <v>51</v>
      </c>
      <c r="B47">
        <v>471</v>
      </c>
      <c r="C47">
        <v>475</v>
      </c>
      <c r="D47">
        <v>0</v>
      </c>
      <c r="E47">
        <v>0</v>
      </c>
    </row>
    <row r="48" spans="1:5" x14ac:dyDescent="0.25">
      <c r="A48">
        <v>52</v>
      </c>
      <c r="B48">
        <v>476</v>
      </c>
      <c r="C48">
        <v>480</v>
      </c>
      <c r="D48">
        <v>0</v>
      </c>
      <c r="E48">
        <v>0</v>
      </c>
    </row>
    <row r="49" spans="1:5" x14ac:dyDescent="0.25">
      <c r="A49">
        <v>53</v>
      </c>
      <c r="B49">
        <v>481</v>
      </c>
      <c r="C49">
        <v>485</v>
      </c>
      <c r="D49">
        <v>0</v>
      </c>
      <c r="E49">
        <v>0</v>
      </c>
    </row>
    <row r="50" spans="1:5" x14ac:dyDescent="0.25">
      <c r="A50">
        <v>54</v>
      </c>
      <c r="B50">
        <v>486</v>
      </c>
      <c r="C50">
        <v>491</v>
      </c>
      <c r="D50">
        <v>0</v>
      </c>
      <c r="E50">
        <v>0</v>
      </c>
    </row>
    <row r="51" spans="1:5" x14ac:dyDescent="0.25">
      <c r="A51">
        <v>55</v>
      </c>
      <c r="B51">
        <v>492</v>
      </c>
      <c r="C51">
        <v>501</v>
      </c>
      <c r="D51">
        <v>0</v>
      </c>
      <c r="E5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A12"/>
  <sheetViews>
    <sheetView showGridLines="0" tabSelected="1" workbookViewId="0"/>
  </sheetViews>
  <sheetFormatPr defaultRowHeight="15" x14ac:dyDescent="0.25"/>
  <cols>
    <col min="1" max="1" width="110.7109375" customWidth="1"/>
  </cols>
  <sheetData>
    <row r="1" spans="1:1" ht="21" x14ac:dyDescent="0.25">
      <c r="A1" s="1" t="s">
        <v>582</v>
      </c>
    </row>
    <row r="2" spans="1:1" ht="9.9499999999999993" customHeight="1" x14ac:dyDescent="0.25">
      <c r="A2" s="21"/>
    </row>
    <row r="3" spans="1:1" ht="32.1" customHeight="1" x14ac:dyDescent="0.25">
      <c r="A3" s="21" t="s">
        <v>583</v>
      </c>
    </row>
    <row r="4" spans="1:1" ht="32.1" customHeight="1" x14ac:dyDescent="0.25">
      <c r="A4" s="21" t="s">
        <v>584</v>
      </c>
    </row>
    <row r="5" spans="1:1" ht="32.1" customHeight="1" x14ac:dyDescent="0.25">
      <c r="A5" s="21" t="s">
        <v>585</v>
      </c>
    </row>
    <row r="6" spans="1:1" ht="32.1" customHeight="1" x14ac:dyDescent="0.25">
      <c r="A6" s="21" t="s">
        <v>586</v>
      </c>
    </row>
    <row r="7" spans="1:1" ht="32.1" customHeight="1" x14ac:dyDescent="0.25">
      <c r="A7" s="21" t="s">
        <v>587</v>
      </c>
    </row>
    <row r="8" spans="1:1" ht="32.1" customHeight="1" x14ac:dyDescent="0.25">
      <c r="A8" s="21" t="s">
        <v>588</v>
      </c>
    </row>
    <row r="9" spans="1:1" ht="32.1" customHeight="1" x14ac:dyDescent="0.25">
      <c r="A9" s="21" t="s">
        <v>589</v>
      </c>
    </row>
    <row r="10" spans="1:1" ht="32.1" customHeight="1" x14ac:dyDescent="0.25">
      <c r="A10" s="21" t="s">
        <v>590</v>
      </c>
    </row>
    <row r="11" spans="1:1" ht="32.1" customHeight="1" x14ac:dyDescent="0.25">
      <c r="A11" s="21" t="s">
        <v>591</v>
      </c>
    </row>
    <row r="12" spans="1:1" ht="32.1" customHeight="1" x14ac:dyDescent="0.25">
      <c r="A12" s="21" t="s">
        <v>592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81373-736D-4E0B-BF1A-B148EC6A79B7}">
  <dimension ref="A1:D43"/>
  <sheetViews>
    <sheetView workbookViewId="0"/>
  </sheetViews>
  <sheetFormatPr defaultRowHeight="15" x14ac:dyDescent="0.25"/>
  <sheetData>
    <row r="1" spans="1:4" x14ac:dyDescent="0.25">
      <c r="A1" t="s">
        <v>593</v>
      </c>
      <c r="B1" t="s">
        <v>594</v>
      </c>
      <c r="C1" t="s">
        <v>595</v>
      </c>
      <c r="D1" t="s">
        <v>596</v>
      </c>
    </row>
    <row r="2" spans="1:4" x14ac:dyDescent="0.25">
      <c r="A2" t="s">
        <v>597</v>
      </c>
      <c r="B2">
        <v>7</v>
      </c>
      <c r="C2">
        <v>540</v>
      </c>
      <c r="D2">
        <v>225</v>
      </c>
    </row>
    <row r="3" spans="1:4" x14ac:dyDescent="0.25">
      <c r="A3" t="s">
        <v>598</v>
      </c>
      <c r="B3">
        <v>25</v>
      </c>
      <c r="C3">
        <v>540</v>
      </c>
      <c r="D3">
        <v>225</v>
      </c>
    </row>
    <row r="4" spans="1:4" x14ac:dyDescent="0.25">
      <c r="A4" t="s">
        <v>599</v>
      </c>
      <c r="B4">
        <v>43</v>
      </c>
      <c r="C4">
        <v>540</v>
      </c>
      <c r="D4">
        <v>225</v>
      </c>
    </row>
    <row r="5" spans="1:4" x14ac:dyDescent="0.25">
      <c r="A5" t="s">
        <v>600</v>
      </c>
      <c r="B5">
        <v>61</v>
      </c>
      <c r="C5">
        <v>540</v>
      </c>
      <c r="D5">
        <v>225</v>
      </c>
    </row>
    <row r="6" spans="1:4" x14ac:dyDescent="0.25">
      <c r="A6" t="s">
        <v>601</v>
      </c>
      <c r="B6">
        <v>79</v>
      </c>
      <c r="C6">
        <v>540</v>
      </c>
      <c r="D6">
        <v>225</v>
      </c>
    </row>
    <row r="7" spans="1:4" x14ac:dyDescent="0.25">
      <c r="A7" t="s">
        <v>602</v>
      </c>
      <c r="B7">
        <v>97</v>
      </c>
      <c r="C7">
        <v>540</v>
      </c>
      <c r="D7">
        <v>225</v>
      </c>
    </row>
    <row r="8" spans="1:4" x14ac:dyDescent="0.25">
      <c r="A8" t="s">
        <v>603</v>
      </c>
      <c r="B8">
        <v>116</v>
      </c>
      <c r="C8">
        <v>540</v>
      </c>
      <c r="D8">
        <v>225</v>
      </c>
    </row>
    <row r="9" spans="1:4" x14ac:dyDescent="0.25">
      <c r="A9" t="s">
        <v>604</v>
      </c>
      <c r="B9">
        <v>135</v>
      </c>
      <c r="C9">
        <v>540</v>
      </c>
      <c r="D9">
        <v>225</v>
      </c>
    </row>
    <row r="10" spans="1:4" x14ac:dyDescent="0.25">
      <c r="A10" t="s">
        <v>605</v>
      </c>
      <c r="B10">
        <v>153</v>
      </c>
      <c r="C10">
        <v>540</v>
      </c>
      <c r="D10">
        <v>225</v>
      </c>
    </row>
    <row r="11" spans="1:4" x14ac:dyDescent="0.25">
      <c r="A11" t="s">
        <v>606</v>
      </c>
      <c r="B11">
        <v>172</v>
      </c>
      <c r="C11">
        <v>540</v>
      </c>
      <c r="D11">
        <v>225</v>
      </c>
    </row>
    <row r="12" spans="1:4" x14ac:dyDescent="0.25">
      <c r="A12" t="s">
        <v>607</v>
      </c>
      <c r="B12">
        <v>190</v>
      </c>
      <c r="C12">
        <v>540</v>
      </c>
      <c r="D12">
        <v>225</v>
      </c>
    </row>
    <row r="13" spans="1:4" x14ac:dyDescent="0.25">
      <c r="A13" t="s">
        <v>608</v>
      </c>
      <c r="B13">
        <v>208</v>
      </c>
      <c r="C13">
        <v>540</v>
      </c>
      <c r="D13">
        <v>225</v>
      </c>
    </row>
    <row r="14" spans="1:4" x14ac:dyDescent="0.25">
      <c r="A14" t="s">
        <v>609</v>
      </c>
      <c r="B14">
        <v>226</v>
      </c>
      <c r="C14">
        <v>540</v>
      </c>
      <c r="D14">
        <v>225</v>
      </c>
    </row>
    <row r="15" spans="1:4" x14ac:dyDescent="0.25">
      <c r="A15" t="s">
        <v>610</v>
      </c>
      <c r="B15">
        <v>244</v>
      </c>
      <c r="C15">
        <v>540</v>
      </c>
      <c r="D15">
        <v>225</v>
      </c>
    </row>
    <row r="16" spans="1:4" x14ac:dyDescent="0.25">
      <c r="A16" t="s">
        <v>611</v>
      </c>
      <c r="B16">
        <v>262</v>
      </c>
      <c r="C16">
        <v>540</v>
      </c>
      <c r="D16">
        <v>225</v>
      </c>
    </row>
    <row r="17" spans="1:4" x14ac:dyDescent="0.25">
      <c r="A17" t="s">
        <v>612</v>
      </c>
      <c r="B17">
        <v>280</v>
      </c>
      <c r="C17">
        <v>540</v>
      </c>
      <c r="D17">
        <v>225</v>
      </c>
    </row>
    <row r="18" spans="1:4" x14ac:dyDescent="0.25">
      <c r="A18" t="s">
        <v>613</v>
      </c>
      <c r="B18">
        <v>298</v>
      </c>
      <c r="C18">
        <v>540</v>
      </c>
      <c r="D18">
        <v>225</v>
      </c>
    </row>
    <row r="19" spans="1:4" x14ac:dyDescent="0.25">
      <c r="A19" t="s">
        <v>614</v>
      </c>
      <c r="B19">
        <v>316</v>
      </c>
      <c r="C19">
        <v>540</v>
      </c>
      <c r="D19">
        <v>225</v>
      </c>
    </row>
    <row r="20" spans="1:4" x14ac:dyDescent="0.25">
      <c r="A20" t="s">
        <v>615</v>
      </c>
      <c r="B20">
        <v>334</v>
      </c>
      <c r="C20">
        <v>540</v>
      </c>
      <c r="D20">
        <v>225</v>
      </c>
    </row>
    <row r="21" spans="1:4" x14ac:dyDescent="0.25">
      <c r="A21" t="s">
        <v>616</v>
      </c>
      <c r="B21">
        <v>352</v>
      </c>
      <c r="C21">
        <v>540</v>
      </c>
      <c r="D21">
        <v>225</v>
      </c>
    </row>
    <row r="22" spans="1:4" x14ac:dyDescent="0.25">
      <c r="A22" t="s">
        <v>617</v>
      </c>
      <c r="B22">
        <v>370</v>
      </c>
      <c r="C22">
        <v>540</v>
      </c>
      <c r="D22">
        <v>225</v>
      </c>
    </row>
    <row r="23" spans="1:4" x14ac:dyDescent="0.25">
      <c r="A23" t="s">
        <v>618</v>
      </c>
      <c r="B23">
        <v>388</v>
      </c>
      <c r="C23">
        <v>540</v>
      </c>
      <c r="D23">
        <v>225</v>
      </c>
    </row>
    <row r="24" spans="1:4" x14ac:dyDescent="0.25">
      <c r="A24" t="s">
        <v>619</v>
      </c>
      <c r="B24">
        <v>406</v>
      </c>
      <c r="C24">
        <v>540</v>
      </c>
      <c r="D24">
        <v>225</v>
      </c>
    </row>
    <row r="25" spans="1:4" x14ac:dyDescent="0.25">
      <c r="A25" t="s">
        <v>620</v>
      </c>
      <c r="B25">
        <v>424</v>
      </c>
      <c r="C25">
        <v>540</v>
      </c>
      <c r="D25">
        <v>225</v>
      </c>
    </row>
    <row r="26" spans="1:4" x14ac:dyDescent="0.25">
      <c r="A26" t="s">
        <v>621</v>
      </c>
      <c r="B26">
        <v>443</v>
      </c>
      <c r="C26">
        <v>540</v>
      </c>
      <c r="D26">
        <v>225</v>
      </c>
    </row>
    <row r="27" spans="1:4" x14ac:dyDescent="0.25">
      <c r="A27" t="s">
        <v>622</v>
      </c>
      <c r="B27">
        <v>461</v>
      </c>
      <c r="C27">
        <v>540</v>
      </c>
      <c r="D27">
        <v>225</v>
      </c>
    </row>
    <row r="28" spans="1:4" x14ac:dyDescent="0.25">
      <c r="A28" t="s">
        <v>623</v>
      </c>
      <c r="B28">
        <v>479</v>
      </c>
      <c r="C28">
        <v>540</v>
      </c>
      <c r="D28">
        <v>225</v>
      </c>
    </row>
    <row r="29" spans="1:4" x14ac:dyDescent="0.25">
      <c r="A29" t="s">
        <v>624</v>
      </c>
      <c r="B29">
        <v>497</v>
      </c>
      <c r="C29">
        <v>540</v>
      </c>
      <c r="D29">
        <v>225</v>
      </c>
    </row>
    <row r="30" spans="1:4" x14ac:dyDescent="0.25">
      <c r="A30" t="s">
        <v>625</v>
      </c>
      <c r="B30">
        <v>515</v>
      </c>
      <c r="C30">
        <v>540</v>
      </c>
      <c r="D30">
        <v>225</v>
      </c>
    </row>
    <row r="31" spans="1:4" x14ac:dyDescent="0.25">
      <c r="A31" t="s">
        <v>626</v>
      </c>
      <c r="B31">
        <v>534</v>
      </c>
      <c r="C31">
        <v>540</v>
      </c>
      <c r="D31">
        <v>225</v>
      </c>
    </row>
    <row r="32" spans="1:4" x14ac:dyDescent="0.25">
      <c r="A32" t="s">
        <v>627</v>
      </c>
      <c r="B32">
        <v>552</v>
      </c>
      <c r="C32">
        <v>540</v>
      </c>
      <c r="D32">
        <v>225</v>
      </c>
    </row>
    <row r="33" spans="1:4" x14ac:dyDescent="0.25">
      <c r="A33" t="s">
        <v>628</v>
      </c>
      <c r="B33">
        <v>570</v>
      </c>
      <c r="C33">
        <v>540</v>
      </c>
      <c r="D33">
        <v>225</v>
      </c>
    </row>
    <row r="34" spans="1:4" x14ac:dyDescent="0.25">
      <c r="A34" t="s">
        <v>629</v>
      </c>
      <c r="B34">
        <v>588</v>
      </c>
      <c r="C34">
        <v>540</v>
      </c>
      <c r="D34">
        <v>225</v>
      </c>
    </row>
    <row r="35" spans="1:4" x14ac:dyDescent="0.25">
      <c r="A35" t="s">
        <v>630</v>
      </c>
      <c r="B35">
        <v>606</v>
      </c>
      <c r="C35">
        <v>540</v>
      </c>
      <c r="D35">
        <v>225</v>
      </c>
    </row>
    <row r="36" spans="1:4" x14ac:dyDescent="0.25">
      <c r="A36" t="s">
        <v>631</v>
      </c>
      <c r="B36">
        <v>624</v>
      </c>
      <c r="C36">
        <v>540</v>
      </c>
      <c r="D36">
        <v>225</v>
      </c>
    </row>
    <row r="37" spans="1:4" x14ac:dyDescent="0.25">
      <c r="A37" t="s">
        <v>632</v>
      </c>
      <c r="B37">
        <v>642</v>
      </c>
      <c r="C37">
        <v>540</v>
      </c>
      <c r="D37">
        <v>225</v>
      </c>
    </row>
    <row r="38" spans="1:4" x14ac:dyDescent="0.25">
      <c r="A38" t="s">
        <v>633</v>
      </c>
      <c r="B38">
        <v>660</v>
      </c>
      <c r="C38">
        <v>540</v>
      </c>
      <c r="D38">
        <v>225</v>
      </c>
    </row>
    <row r="39" spans="1:4" x14ac:dyDescent="0.25">
      <c r="A39" t="s">
        <v>634</v>
      </c>
      <c r="B39">
        <v>678</v>
      </c>
      <c r="C39">
        <v>540</v>
      </c>
      <c r="D39">
        <v>225</v>
      </c>
    </row>
    <row r="40" spans="1:4" x14ac:dyDescent="0.25">
      <c r="A40" t="s">
        <v>635</v>
      </c>
      <c r="B40">
        <v>696</v>
      </c>
      <c r="C40">
        <v>540</v>
      </c>
      <c r="D40">
        <v>225</v>
      </c>
    </row>
    <row r="41" spans="1:4" x14ac:dyDescent="0.25">
      <c r="A41" t="s">
        <v>636</v>
      </c>
      <c r="B41">
        <v>714</v>
      </c>
      <c r="C41">
        <v>540</v>
      </c>
      <c r="D41">
        <v>225</v>
      </c>
    </row>
    <row r="42" spans="1:4" x14ac:dyDescent="0.25">
      <c r="A42" t="s">
        <v>637</v>
      </c>
      <c r="B42">
        <v>732</v>
      </c>
      <c r="C42">
        <v>540</v>
      </c>
      <c r="D42">
        <v>225</v>
      </c>
    </row>
    <row r="43" spans="1:4" x14ac:dyDescent="0.25">
      <c r="A43" t="s">
        <v>638</v>
      </c>
      <c r="B43">
        <v>750</v>
      </c>
      <c r="C43">
        <v>540</v>
      </c>
      <c r="D43">
        <v>225</v>
      </c>
    </row>
  </sheetData>
  <sortState xmlns:xlrd2="http://schemas.microsoft.com/office/spreadsheetml/2017/richdata2" ref="A2:D43">
    <sortCondition ref="B2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Escolher</vt:lpstr>
      <vt:lpstr>Dados Completo</vt:lpstr>
      <vt:lpstr>Dados Selecionados</vt:lpstr>
      <vt:lpstr>DadosG</vt:lpstr>
      <vt:lpstr>Graficos Completo</vt:lpstr>
      <vt:lpstr>Graficos Selecionados</vt:lpstr>
      <vt:lpstr>Unicos</vt:lpstr>
      <vt:lpstr>Mapa</vt:lpstr>
      <vt:lpstr>Como usar</vt:lpstr>
      <vt:lpstr>'Dados Completo'!Area_de_impressao</vt:lpstr>
      <vt:lpstr>'Dados Selecionados'!Area_de_impressao</vt:lpstr>
      <vt:lpstr>Escolher!Area_de_impressao</vt:lpstr>
      <vt:lpstr>'Graficos Completo'!Area_de_impressao</vt:lpstr>
      <vt:lpstr>'Graficos Selecionados'!Area_de_impressao</vt:lpstr>
      <vt:lpstr>Escolher!Titulos_de_impressao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Antonio Rafael da Silva Filho</cp:lastModifiedBy>
  <dcterms:created xsi:type="dcterms:W3CDTF">2026-08-24T11:49:32Z</dcterms:created>
  <dcterms:modified xsi:type="dcterms:W3CDTF">2026-08-24T11:49:36Z</dcterms:modified>
</cp:coreProperties>
</file>