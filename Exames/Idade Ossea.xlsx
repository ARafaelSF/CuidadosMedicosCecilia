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dade ósse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1F4E79"/>
      <sz val="14"/>
    </font>
    <font>
      <name val="Calibri"/>
      <i val="1"/>
      <color rgb="FF666666"/>
      <sz val="1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1F4E79"/>
      <sz val="11"/>
    </font>
    <font>
      <name val="Calibri"/>
      <b val="1"/>
      <color rgb="FFFFFFFF"/>
      <sz val="9"/>
    </font>
    <font>
      <name val="Calibri"/>
      <sz val="9"/>
    </font>
    <font>
      <name val="Calibri"/>
      <color rgb="FF555555"/>
      <sz val="9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0" borderId="0" pivotButton="0" quotePrefix="0" xfId="0"/>
    <xf numFmtId="0" fontId="0" fillId="0" borderId="0" pivotButton="0" quotePrefix="0" xfId="0"/>
    <xf numFmtId="0" fontId="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/>
            </a:pPr>
            <a:r>
              <a:rPr lang="pt-BR" sz="1400"/>
              <a:t>Idade cronológica × idade óssea</a:t>
            </a:r>
          </a:p>
        </rich>
      </tx>
      <layout>
        <manualLayout>
          <xMode val="edge"/>
          <yMode val="edge"/>
          <wMode val="factor"/>
          <hMode val="factor"/>
          <x val="0.2928918402777778"/>
          <y val="0.06093434343434343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'Idade óssea'!$E$4</f>
              <strCache>
                <ptCount val="1"/>
                <pt idx="0">
                  <v>Cronológica (anos)</v>
                </pt>
              </strCache>
            </strRef>
          </tx>
          <spPr>
            <a:ln xmlns:a="http://schemas.openxmlformats.org/drawingml/2006/main" w="25000">
              <a:solidFill>
                <a:srgbClr val="5B9BD5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cat>
            <numRef>
              <f>'Idade óssea'!$A$5:$A$7</f>
              <numCache>
                <formatCode>m/d/yyyy</formatCode>
                <ptCount val="3"/>
                <pt idx="0">
                  <v>45698</v>
                </pt>
                <pt idx="1">
                  <v>46071</v>
                </pt>
                <pt idx="2">
                  <v>46232</v>
                </pt>
              </numCache>
            </numRef>
          </cat>
          <val>
            <numRef>
              <f>'Idade óssea'!$E$5:$E$7</f>
              <numCache>
                <formatCode>0.00</formatCode>
                <ptCount val="3"/>
                <pt idx="0">
                  <v>4.58</v>
                </pt>
                <pt idx="1">
                  <v>5.58</v>
                </pt>
                <pt idx="2">
                  <v>6.08</v>
                </pt>
              </numCache>
            </numRef>
          </val>
          <smooth val="1"/>
        </ser>
        <ser>
          <idx val="1"/>
          <order val="1"/>
          <tx>
            <strRef>
              <f>'Idade óssea'!$F$4</f>
              <strCache>
                <ptCount val="1"/>
                <pt idx="0">
                  <v>Óssea (anos)</v>
                </pt>
              </strCache>
            </strRef>
          </tx>
          <spPr>
            <a:ln xmlns:a="http://schemas.openxmlformats.org/drawingml/2006/main" w="25000">
              <a:solidFill>
                <a:srgbClr val="ED7D31"/>
              </a:solidFill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C65911"/>
                </a:solidFill>
                <a:prstDash val="solid"/>
              </a:ln>
            </spPr>
          </marker>
          <cat>
            <numRef>
              <f>'Idade óssea'!$A$5:$A$7</f>
              <numCache>
                <formatCode>m/d/yyyy</formatCode>
                <ptCount val="3"/>
                <pt idx="0">
                  <v>45698</v>
                </pt>
                <pt idx="1">
                  <v>46071</v>
                </pt>
                <pt idx="2">
                  <v>46232</v>
                </pt>
              </numCache>
            </numRef>
          </cat>
          <val>
            <numRef>
              <f>'Idade óssea'!$F$5:$F$7</f>
              <numCache>
                <formatCode>0.00</formatCode>
                <ptCount val="3"/>
                <pt idx="0">
                  <v>2.5</v>
                </pt>
                <pt idx="1">
                  <v>3.5</v>
                </pt>
                <pt idx="2">
                  <v>4.17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dateAx>
        <axId val="10"/>
        <scaling>
          <orientation val="minMax"/>
        </scaling>
        <delete val="1"/>
        <axPos val="b"/>
        <numFmt formatCode="m/d/yyyy" sourceLinked="1"/>
        <majorTickMark val="none"/>
        <minorTickMark val="none"/>
        <tickLblPos val="nextTo"/>
        <crossAx val="100"/>
        <crosses val="autoZero"/>
        <lblOffset val="100"/>
        <baseTimeUnit val="month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pt-BR"/>
                  <a:t>Idade (anos)</a:t>
                </a:r>
              </a:p>
            </rich>
          </tx>
          <overlay val="1"/>
        </title>
        <numFmt formatCode="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2435541666666667"/>
          <y val="0.8819444444444444"/>
          <w val="0.4643847222222222"/>
          <h val="0.05799318181818182"/>
        </manualLayout>
      </layout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tabSelected="1" workbookViewId="0">
      <selection activeCell="D24" sqref="D24"/>
    </sheetView>
  </sheetViews>
  <sheetFormatPr baseColWidth="8" defaultRowHeight="14.4"/>
  <cols>
    <col width="14" customWidth="1" style="13" min="1" max="1"/>
    <col width="22" customWidth="1" style="13" min="2" max="2"/>
    <col width="72" customWidth="1" style="13" min="3" max="3"/>
    <col width="14" customWidth="1" style="13" min="4" max="4"/>
    <col width="18" customWidth="1" style="13" min="5" max="5"/>
    <col width="14" customWidth="1" style="13" min="6" max="6"/>
  </cols>
  <sheetData>
    <row r="1" ht="24" customHeight="1" s="13">
      <c r="A1" s="15" t="inlineStr">
        <is>
          <t>Cecília Maria Albergaria Silva — Evolução da idade óssea</t>
        </is>
      </c>
    </row>
    <row r="2" ht="18" customHeight="1" s="13">
      <c r="A2" s="12" t="inlineStr">
        <is>
          <t>Nascimento: 30/06/2020  ·  RX mão/punho (Greulich-Pyle, padrão feminino)  ·  Idades conforme os laudos</t>
        </is>
      </c>
    </row>
    <row r="3"/>
    <row r="4" ht="32.1" customHeight="1" s="13">
      <c r="A4" s="1" t="inlineStr">
        <is>
          <t>Data do exame</t>
        </is>
      </c>
      <c r="B4" s="1" t="inlineStr">
        <is>
          <t>Idade cronológica</t>
        </is>
      </c>
      <c r="C4" s="1" t="inlineStr">
        <is>
          <t>Idade óssea</t>
        </is>
      </c>
      <c r="D4" s="1" t="inlineStr">
        <is>
          <t>Atraso (meses)</t>
        </is>
      </c>
      <c r="E4" s="1" t="inlineStr">
        <is>
          <t>Cronológica (anos)</t>
        </is>
      </c>
      <c r="F4" s="1" t="inlineStr">
        <is>
          <t>Óssea (anos)</t>
        </is>
      </c>
    </row>
    <row r="5" ht="18" customHeight="1" s="13">
      <c r="A5" s="2" t="n">
        <v>45698</v>
      </c>
      <c r="B5" s="3" t="inlineStr">
        <is>
          <t>4a7m</t>
        </is>
      </c>
      <c r="C5" s="3" t="inlineStr">
        <is>
          <t>2a6m</t>
        </is>
      </c>
      <c r="D5" s="3" t="n">
        <v>25</v>
      </c>
      <c r="E5" s="4" t="n">
        <v>4.58</v>
      </c>
      <c r="F5" s="4" t="n">
        <v>2.5</v>
      </c>
    </row>
    <row r="6" ht="18" customHeight="1" s="13">
      <c r="A6" s="5" t="n">
        <v>46071</v>
      </c>
      <c r="B6" s="6" t="inlineStr">
        <is>
          <t>5a7m</t>
        </is>
      </c>
      <c r="C6" s="6" t="inlineStr">
        <is>
          <t>3a6m</t>
        </is>
      </c>
      <c r="D6" s="6" t="n">
        <v>25</v>
      </c>
      <c r="E6" s="7" t="n">
        <v>5.58</v>
      </c>
      <c r="F6" s="7" t="n">
        <v>3.5</v>
      </c>
    </row>
    <row r="7" ht="18" customHeight="1" s="13">
      <c r="A7" s="2" t="n">
        <v>46232</v>
      </c>
      <c r="B7" s="3" t="inlineStr">
        <is>
          <t>6a1m</t>
        </is>
      </c>
      <c r="C7" s="3" t="inlineStr">
        <is>
          <t>4a2m</t>
        </is>
      </c>
      <c r="D7" s="3" t="n">
        <v>23</v>
      </c>
      <c r="E7" s="4" t="n">
        <v>6.08</v>
      </c>
      <c r="F7" s="4" t="n">
        <v>4.17</v>
      </c>
    </row>
    <row r="8"/>
    <row r="9">
      <c r="A9" s="8" t="inlineStr">
        <is>
          <t>Detalhes dos exames</t>
        </is>
      </c>
    </row>
    <row r="10">
      <c r="A10" s="9" t="inlineStr">
        <is>
          <t>Data</t>
        </is>
      </c>
      <c r="B10" s="9" t="inlineStr">
        <is>
          <t>Solicitante</t>
        </is>
      </c>
      <c r="C10" s="9" t="inlineStr">
        <is>
          <t>Arquivo</t>
        </is>
      </c>
    </row>
    <row r="11" ht="15.9" customHeight="1" s="13">
      <c r="A11" s="10" t="n">
        <v>45698</v>
      </c>
      <c r="B11" s="11" t="inlineStr">
        <is>
          <t>Dra. Júlia</t>
        </is>
      </c>
      <c r="C11" s="11" t="inlineStr">
        <is>
          <t>Imagem - 2025-02-10 - Júlia Martins Azevedo Eyer Thomaz - Punho.pdf</t>
        </is>
      </c>
    </row>
    <row r="12" ht="15.9" customHeight="1" s="13">
      <c r="A12" s="10" t="n">
        <v>46071</v>
      </c>
      <c r="B12" s="11" t="inlineStr">
        <is>
          <t>Dra. Júlia</t>
        </is>
      </c>
      <c r="C12" s="11" t="inlineStr">
        <is>
          <t>Imagem - 2026-02-18 - Júlia Martins Azevedo Eyer Thomaz - Punho.pdf</t>
        </is>
      </c>
    </row>
    <row r="13" ht="15.9" customHeight="1" s="13">
      <c r="A13" s="10" t="n">
        <v>46232</v>
      </c>
      <c r="B13" s="11" t="inlineStr">
        <is>
          <t>Fernanda de Souza Silva</t>
        </is>
      </c>
      <c r="C13" s="11" t="inlineStr">
        <is>
          <t>Imagem - 2026-07-29 - Fernanda de Souza Silva - Punho.pdf</t>
        </is>
      </c>
    </row>
    <row r="14"/>
    <row r="15">
      <c r="A15" s="8" t="inlineStr">
        <is>
          <t>Observações</t>
        </is>
      </c>
    </row>
    <row r="16" ht="20.1" customHeight="1" s="13">
      <c r="A16" s="14" t="inlineStr">
        <is>
          <t>Idade óssea estimada pelo laudo (Greulich-Pyle). Atraso = idade cronológica − idade óssea, em meses. No gráfico, anos em decimal (ex.: 4a7m = 4,58). Nos três exames o atraso ficou em torno de 2 anos (23–25 meses).</t>
        </is>
      </c>
    </row>
    <row r="17" ht="20.1" customHeight="1" s="13"/>
  </sheetData>
  <mergeCells count="3">
    <mergeCell ref="A2:F2"/>
    <mergeCell ref="A16:F17"/>
    <mergeCell ref="A1:F1"/>
  </mergeCells>
  <pageMargins left="0.4" right="0.4" top="0.4" bottom="0.4" header="0.2" footer="0.2"/>
  <pageSetup orientation="landscape" paperSize="9"/>
  <headerFooter>
    <oddHeader/>
    <oddFooter>&amp;RPágina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2026-08-14T16:55:33Z</dcterms:created>
  <dcterms:modified xmlns:dcterms="http://purl.org/dc/terms/" xmlns:xsi="http://www.w3.org/2001/XMLSchema-instance" xsi:type="dcterms:W3CDTF">2026-08-24T11:29:32Z</dcterms:modified>
  <cp:lastModifiedBy>Antonio Rafael da Silva Filho</cp:lastModifiedBy>
</cp:coreProperties>
</file>