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27feec103fcdd7/Documentos/Cecília/_Organizado/Exames/"/>
    </mc:Choice>
  </mc:AlternateContent>
  <xr:revisionPtr revIDLastSave="1" documentId="11_F620B53E1BCB2EFA207CFCAA9675825D4CF66FF8" xr6:coauthVersionLast="47" xr6:coauthVersionMax="47" xr10:uidLastSave="{29AFD551-6E46-4204-B213-EF5BFD6C58B4}"/>
  <bookViews>
    <workbookView xWindow="20760" yWindow="2115" windowWidth="22590" windowHeight="15345" activeTab="1" xr2:uid="{00000000-000D-0000-FFFF-FFFF00000000}"/>
  </bookViews>
  <sheets>
    <sheet name="Idade óssea" sheetId="1" r:id="rId1"/>
    <sheet name="Gráfico" sheetId="2" r:id="rId2"/>
  </sheets>
  <calcPr calcId="0"/>
</workbook>
</file>

<file path=xl/sharedStrings.xml><?xml version="1.0" encoding="utf-8"?>
<sst xmlns="http://schemas.openxmlformats.org/spreadsheetml/2006/main" count="71" uniqueCount="48">
  <si>
    <t>Cecília Maria Albergaria Silva — Evolução da idade óssea</t>
  </si>
  <si>
    <t>Nascimento: 30/06/2020  ·  RX mão/punho (Greulich-Pyle, padrão feminino)  ·  Laudo médico + estimativa IA (visual) nas linhas com radiografia</t>
  </si>
  <si>
    <t>Data do exame</t>
  </si>
  <si>
    <t>Idade cronológica</t>
  </si>
  <si>
    <t>Idade óssea</t>
  </si>
  <si>
    <t>Atraso (meses)</t>
  </si>
  <si>
    <t>Cronológica (anos)</t>
  </si>
  <si>
    <t>Óssea (anos)</t>
  </si>
  <si>
    <t>Idade óssea (IA)</t>
  </si>
  <si>
    <t>Atraso IA (meses)</t>
  </si>
  <si>
    <t>Óssea IA (anos)</t>
  </si>
  <si>
    <t>Concordância laudo</t>
  </si>
  <si>
    <t>Notas da análise (IA)</t>
  </si>
  <si>
    <t>4a7m</t>
  </si>
  <si>
    <t>2a6m</t>
  </si>
  <si>
    <t>—</t>
  </si>
  <si>
    <t>Sem RX no PDF</t>
  </si>
  <si>
    <t>PDF contém só o laudo (scan), sem radiografia embutida. Não foi possível avaliar a imagem.</t>
  </si>
  <si>
    <t>5a7m</t>
  </si>
  <si>
    <t>3a6m</t>
  </si>
  <si>
    <t>Concordante</t>
  </si>
  <si>
    <t>RX 18/02/2026: ~4 centros carpais (capitato, hamato, piriforme, semilunar); epífise radial presente; epífise ulnar não visível. Padrão GP feminino compatível com 3a–3a6m (laudo: 3a6m).</t>
  </si>
  <si>
    <t>6a1m</t>
  </si>
  <si>
    <t>4a2m</t>
  </si>
  <si>
    <t>5a2m</t>
  </si>
  <si>
    <t>Parcialmente divergente</t>
  </si>
  <si>
    <t>RX 29/07/2026: 7 centros carpais (sem pisiforme); escafóide/trapezoide/trapezio presentes; epífise ulnar visível (marco GP ~6a em meninas). Estimativa IA ~5a0m–5a6m; laudo 4a2m. Possível subestimação no laudo ou variabilidade do atlas.</t>
  </si>
  <si>
    <t>Detalhes dos exames</t>
  </si>
  <si>
    <t>Data</t>
  </si>
  <si>
    <t>Solicitante</t>
  </si>
  <si>
    <t>Arquivo</t>
  </si>
  <si>
    <t>Dra. Júlia</t>
  </si>
  <si>
    <t>Imagem - 2025-02-10 - Júlia Martins Azevedo Eyer Thomaz - Punho.pdf</t>
  </si>
  <si>
    <t>Imagem - 2026-02-18 - Júlia Martins Azevedo Eyer Thomaz - Punho.pdf</t>
  </si>
  <si>
    <t>Fernanda de Souza Silva</t>
  </si>
  <si>
    <t>Imagem - 2026-07-29 - Fernanda de Souza Silva - Punho.pdf</t>
  </si>
  <si>
    <t>Observações</t>
  </si>
  <si>
    <t>Laudo: idade óssea do radiologista (Greulich-Pyle). IA: leitura visual da radiografia pelo assistente — não substitui laudo oficial. Atraso = cronológica − óssea, em meses. Fev/2026: IA concorda com laudo (3a6m). Jul/2026: IA ~5a2m vs laudo 4a2m (epífise ulnar já visível). Fev/2025: sem imagem no PDF.</t>
  </si>
  <si>
    <t>Cecília — Idade óssea: laudo × IA (Greulich-Pyle, feminino)</t>
  </si>
  <si>
    <t>Cronológica</t>
  </si>
  <si>
    <t>Óssea laudo</t>
  </si>
  <si>
    <t>Óssea IA</t>
  </si>
  <si>
    <t>Atraso laudo (m)</t>
  </si>
  <si>
    <t>Atraso IA (m)</t>
  </si>
  <si>
    <t>Concordância</t>
  </si>
  <si>
    <t>Notas</t>
  </si>
  <si>
    <t>Data (gráfico)</t>
  </si>
  <si>
    <t>Óssea laudo (anos)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</si>
</sst>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0"/>
      <color rgb="FFFFFFFF"/>
      <name val="Calibri"/>
    </font>
    <font>
      <sz val="10"/>
      <name val="Calibri"/>
    </font>
    <font>
      <b/>
      <sz val="11"/>
      <color rgb="FF1F4E79"/>
      <name val="Calibri"/>
    </font>
    <font>
      <b/>
      <sz val="9"/>
      <color rgb="FFFFFFFF"/>
      <name val="Calibri"/>
    </font>
    <font>
      <sz val="9"/>
      <name val="Calibri"/>
    </font>
    <font>
      <sz val="9"/>
      <color rgb="FF555555"/>
      <name val="Calibri"/>
    </font>
    <font>
      <b/>
      <sz val="10"/>
      <color rgb="FFFFFFFF"/>
      <name val="Calibri"/>
    </font>
    <font>
      <b/>
      <sz val="14"/>
      <color rgb="FF1F4E79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/>
    <xf numFmtId="0" fontId="8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400"/>
            </a:pPr>
            <a:r>
              <a:rPr lang="pt-BR" sz="1400"/>
              <a:t>Idade cronológica × idade óssea</a:t>
            </a:r>
          </a:p>
        </c:rich>
      </c:tx>
      <c:layout>
        <c:manualLayout>
          <c:xMode val="edge"/>
          <c:yMode val="edge"/>
          <c:x val="0.29289184027777782"/>
          <c:y val="6.0934343434343431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'Idade óssea'!$E$4</c:f>
              <c:strCache>
                <c:ptCount val="1"/>
                <c:pt idx="0">
                  <c:v>Cronológica (anos)</c:v>
                </c:pt>
              </c:strCache>
            </c:strRef>
          </c:tx>
          <c:spPr>
            <a:ln w="25000">
              <a:solidFill>
                <a:srgbClr val="5B9BD5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5B9BD5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cat>
            <c:numRef>
              <c:f>'Idade óssea'!$A$5:$A$7</c:f>
              <c:numCache>
                <c:formatCode>m/d/yyyy</c:formatCode>
                <c:ptCount val="3"/>
                <c:pt idx="0">
                  <c:v>45698</c:v>
                </c:pt>
                <c:pt idx="1">
                  <c:v>46071</c:v>
                </c:pt>
                <c:pt idx="2">
                  <c:v>46232</c:v>
                </c:pt>
              </c:numCache>
            </c:numRef>
          </c:cat>
          <c:val>
            <c:numRef>
              <c:f>'Idade óssea'!$E$5:$E$7</c:f>
              <c:numCache>
                <c:formatCode>0.00</c:formatCode>
                <c:ptCount val="3"/>
                <c:pt idx="0">
                  <c:v>4.58</c:v>
                </c:pt>
                <c:pt idx="1">
                  <c:v>5.58</c:v>
                </c:pt>
                <c:pt idx="2">
                  <c:v>6.08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8A-4839-A2BE-D6260E230F54}"/>
            </c:ext>
          </c:extLst>
        </c:ser>
        <c:ser>
          <c:idx val="1"/>
          <c:order val="1"/>
          <c:tx>
            <c:strRef>
              <c:f>'Idade óssea'!$F$4</c:f>
              <c:strCache>
                <c:ptCount val="1"/>
                <c:pt idx="0">
                  <c:v>Óssea (anos)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ED7D31"/>
              </a:solidFill>
              <a:ln>
                <a:solidFill>
                  <a:srgbClr val="C65911"/>
                </a:solidFill>
                <a:prstDash val="solid"/>
              </a:ln>
            </c:spPr>
          </c:marker>
          <c:cat>
            <c:numRef>
              <c:f>'Idade óssea'!$A$5:$A$7</c:f>
              <c:numCache>
                <c:formatCode>m/d/yyyy</c:formatCode>
                <c:ptCount val="3"/>
                <c:pt idx="0">
                  <c:v>45698</c:v>
                </c:pt>
                <c:pt idx="1">
                  <c:v>46071</c:v>
                </c:pt>
                <c:pt idx="2">
                  <c:v>46232</c:v>
                </c:pt>
              </c:numCache>
            </c:numRef>
          </c:cat>
          <c:val>
            <c:numRef>
              <c:f>'Idade óssea'!$F$5:$F$7</c:f>
              <c:numCache>
                <c:formatCode>0.00</c:formatCode>
                <c:ptCount val="3"/>
                <c:pt idx="0">
                  <c:v>2.5</c:v>
                </c:pt>
                <c:pt idx="1">
                  <c:v>3.5</c:v>
                </c:pt>
                <c:pt idx="2">
                  <c:v>4.17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8A-4839-A2BE-D6260E230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Idade (anos)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4355416666666671"/>
          <c:y val="0.88194444444444442"/>
          <c:w val="0.46438472222222221"/>
          <c:h val="5.7993181818181819E-2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Idade cronológica × idade óssea (laudo e IA)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Gráfico!$B$9</c:f>
              <c:strCache>
                <c:ptCount val="1"/>
                <c:pt idx="0">
                  <c:v>Cronológica (anos)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Gráfico!$A$10:$A$12</c:f>
              <c:numCache>
                <c:formatCode>m/d/yyyy</c:formatCode>
                <c:ptCount val="3"/>
                <c:pt idx="0">
                  <c:v>45698</c:v>
                </c:pt>
                <c:pt idx="1">
                  <c:v>46071</c:v>
                </c:pt>
                <c:pt idx="2">
                  <c:v>46232</c:v>
                </c:pt>
              </c:numCache>
            </c:numRef>
          </c:cat>
          <c:val>
            <c:numRef>
              <c:f>Gráfico!$B$10:$B$12</c:f>
              <c:numCache>
                <c:formatCode>General</c:formatCode>
                <c:ptCount val="3"/>
                <c:pt idx="0">
                  <c:v>4.58</c:v>
                </c:pt>
                <c:pt idx="1">
                  <c:v>5.58</c:v>
                </c:pt>
                <c:pt idx="2">
                  <c:v>6.08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E1-407A-BE28-EA93303F549C}"/>
            </c:ext>
          </c:extLst>
        </c:ser>
        <c:ser>
          <c:idx val="1"/>
          <c:order val="1"/>
          <c:tx>
            <c:strRef>
              <c:f>Gráfico!$C$9</c:f>
              <c:strCache>
                <c:ptCount val="1"/>
                <c:pt idx="0">
                  <c:v>Óssea laudo (anos)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Gráfico!$A$10:$A$12</c:f>
              <c:numCache>
                <c:formatCode>m/d/yyyy</c:formatCode>
                <c:ptCount val="3"/>
                <c:pt idx="0">
                  <c:v>45698</c:v>
                </c:pt>
                <c:pt idx="1">
                  <c:v>46071</c:v>
                </c:pt>
                <c:pt idx="2">
                  <c:v>46232</c:v>
                </c:pt>
              </c:numCache>
            </c:numRef>
          </c:cat>
          <c:val>
            <c:numRef>
              <c:f>Gráfico!$C$10:$C$12</c:f>
              <c:numCache>
                <c:formatCode>General</c:formatCode>
                <c:ptCount val="3"/>
                <c:pt idx="0">
                  <c:v>2.5</c:v>
                </c:pt>
                <c:pt idx="1">
                  <c:v>3.5</c:v>
                </c:pt>
                <c:pt idx="2">
                  <c:v>4.17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E1-407A-BE28-EA93303F549C}"/>
            </c:ext>
          </c:extLst>
        </c:ser>
        <c:ser>
          <c:idx val="2"/>
          <c:order val="2"/>
          <c:tx>
            <c:strRef>
              <c:f>Gráfico!$D$9</c:f>
              <c:strCache>
                <c:ptCount val="1"/>
                <c:pt idx="0">
                  <c:v>Óssea IA (anos)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Gráfico!$A$10:$A$12</c:f>
              <c:numCache>
                <c:formatCode>m/d/yyyy</c:formatCode>
                <c:ptCount val="3"/>
                <c:pt idx="0">
                  <c:v>45698</c:v>
                </c:pt>
                <c:pt idx="1">
                  <c:v>46071</c:v>
                </c:pt>
                <c:pt idx="2">
                  <c:v>46232</c:v>
                </c:pt>
              </c:numCache>
            </c:numRef>
          </c:cat>
          <c:val>
            <c:numRef>
              <c:f>Gráfico!$D$10:$D$12</c:f>
              <c:numCache>
                <c:formatCode>General</c:formatCode>
                <c:ptCount val="3"/>
                <c:pt idx="1">
                  <c:v>3.5</c:v>
                </c:pt>
                <c:pt idx="2">
                  <c:v>5.17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E1-407A-BE28-EA93303F5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 do exame</a:t>
                </a:r>
              </a:p>
            </c:rich>
          </c:tx>
          <c:overlay val="1"/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2390404040404041"/>
          <c:y val="0.86746458333333332"/>
          <c:w val="0.55219179292929288"/>
          <c:h val="5.3160416666666668E-2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showGridLines="0" workbookViewId="0">
      <selection activeCell="D24" sqref="D24"/>
    </sheetView>
  </sheetViews>
  <sheetFormatPr defaultRowHeight="15" x14ac:dyDescent="0.25"/>
  <cols>
    <col min="1" max="1" width="14" customWidth="1"/>
    <col min="2" max="2" width="22" customWidth="1"/>
    <col min="3" max="3" width="72" customWidth="1"/>
    <col min="4" max="4" width="14" customWidth="1"/>
    <col min="5" max="5" width="18" customWidth="1"/>
    <col min="6" max="8" width="14" customWidth="1"/>
    <col min="9" max="9" width="12" customWidth="1"/>
    <col min="10" max="10" width="16" customWidth="1"/>
    <col min="11" max="11" width="58" customWidth="1"/>
  </cols>
  <sheetData>
    <row r="1" spans="1:11" ht="24" customHeight="1" x14ac:dyDescent="0.25">
      <c r="A1" s="22" t="s">
        <v>0</v>
      </c>
      <c r="B1" s="20"/>
      <c r="C1" s="20"/>
      <c r="D1" s="20"/>
      <c r="E1" s="20"/>
      <c r="F1" s="20"/>
    </row>
    <row r="2" spans="1:11" ht="18" customHeight="1" x14ac:dyDescent="0.25">
      <c r="A2" s="19" t="s">
        <v>1</v>
      </c>
      <c r="B2" s="20"/>
      <c r="C2" s="20"/>
      <c r="D2" s="20"/>
      <c r="E2" s="20"/>
      <c r="F2" s="20"/>
    </row>
    <row r="4" spans="1:11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</row>
    <row r="5" spans="1:11" ht="18" customHeight="1" x14ac:dyDescent="0.25">
      <c r="A5" s="2">
        <v>45698</v>
      </c>
      <c r="B5" s="3" t="s">
        <v>13</v>
      </c>
      <c r="C5" s="3" t="s">
        <v>14</v>
      </c>
      <c r="D5" s="3">
        <v>25</v>
      </c>
      <c r="E5" s="4">
        <v>4.58</v>
      </c>
      <c r="F5" s="4">
        <v>2.5</v>
      </c>
      <c r="G5" s="13" t="s">
        <v>15</v>
      </c>
      <c r="H5" s="13" t="s">
        <v>15</v>
      </c>
      <c r="I5" s="13" t="s">
        <v>15</v>
      </c>
      <c r="J5" s="13" t="s">
        <v>16</v>
      </c>
      <c r="K5" s="14" t="s">
        <v>17</v>
      </c>
    </row>
    <row r="6" spans="1:11" ht="18" customHeight="1" x14ac:dyDescent="0.25">
      <c r="A6" s="5">
        <v>46071</v>
      </c>
      <c r="B6" s="6" t="s">
        <v>18</v>
      </c>
      <c r="C6" s="6" t="s">
        <v>19</v>
      </c>
      <c r="D6" s="6">
        <v>25</v>
      </c>
      <c r="E6" s="7">
        <v>5.58</v>
      </c>
      <c r="F6" s="7">
        <v>3.5</v>
      </c>
      <c r="G6" s="13" t="s">
        <v>19</v>
      </c>
      <c r="H6" s="13">
        <v>25</v>
      </c>
      <c r="I6" s="13">
        <v>3.5</v>
      </c>
      <c r="J6" s="13" t="s">
        <v>20</v>
      </c>
      <c r="K6" s="14" t="s">
        <v>21</v>
      </c>
    </row>
    <row r="7" spans="1:11" ht="18" customHeight="1" x14ac:dyDescent="0.25">
      <c r="A7" s="2">
        <v>46232</v>
      </c>
      <c r="B7" s="3" t="s">
        <v>22</v>
      </c>
      <c r="C7" s="3" t="s">
        <v>23</v>
      </c>
      <c r="D7" s="3">
        <v>23</v>
      </c>
      <c r="E7" s="4">
        <v>6.08</v>
      </c>
      <c r="F7" s="4">
        <v>4.17</v>
      </c>
      <c r="G7" s="13" t="s">
        <v>24</v>
      </c>
      <c r="H7" s="13">
        <v>11</v>
      </c>
      <c r="I7" s="13">
        <v>5.17</v>
      </c>
      <c r="J7" s="13" t="s">
        <v>25</v>
      </c>
      <c r="K7" s="14" t="s">
        <v>26</v>
      </c>
    </row>
    <row r="9" spans="1:11" x14ac:dyDescent="0.25">
      <c r="A9" s="8" t="s">
        <v>27</v>
      </c>
    </row>
    <row r="10" spans="1:11" x14ac:dyDescent="0.25">
      <c r="A10" s="9" t="s">
        <v>28</v>
      </c>
      <c r="B10" s="9" t="s">
        <v>29</v>
      </c>
      <c r="C10" s="9" t="s">
        <v>30</v>
      </c>
    </row>
    <row r="11" spans="1:11" ht="15.95" customHeight="1" x14ac:dyDescent="0.25">
      <c r="A11" s="10">
        <v>45698</v>
      </c>
      <c r="B11" s="11" t="s">
        <v>31</v>
      </c>
      <c r="C11" s="11" t="s">
        <v>32</v>
      </c>
    </row>
    <row r="12" spans="1:11" ht="15.95" customHeight="1" x14ac:dyDescent="0.25">
      <c r="A12" s="10">
        <v>46071</v>
      </c>
      <c r="B12" s="11" t="s">
        <v>31</v>
      </c>
      <c r="C12" s="11" t="s">
        <v>33</v>
      </c>
    </row>
    <row r="13" spans="1:11" ht="15.95" customHeight="1" x14ac:dyDescent="0.25">
      <c r="A13" s="10">
        <v>46232</v>
      </c>
      <c r="B13" s="11" t="s">
        <v>34</v>
      </c>
      <c r="C13" s="11" t="s">
        <v>35</v>
      </c>
    </row>
    <row r="15" spans="1:11" x14ac:dyDescent="0.25">
      <c r="A15" s="8" t="s">
        <v>36</v>
      </c>
    </row>
    <row r="16" spans="1:11" ht="20.100000000000001" customHeight="1" x14ac:dyDescent="0.25">
      <c r="A16" s="21" t="s">
        <v>37</v>
      </c>
      <c r="B16" s="20"/>
      <c r="C16" s="20"/>
      <c r="D16" s="20"/>
      <c r="E16" s="20"/>
      <c r="F16" s="20"/>
    </row>
    <row r="17" spans="1:6" ht="20.100000000000001" customHeight="1" x14ac:dyDescent="0.25">
      <c r="A17" s="20"/>
      <c r="B17" s="20"/>
      <c r="C17" s="20"/>
      <c r="D17" s="20"/>
      <c r="E17" s="20"/>
      <c r="F17" s="20"/>
    </row>
  </sheetData>
  <mergeCells count="3">
    <mergeCell ref="A2:F2"/>
    <mergeCell ref="A16:F17"/>
    <mergeCell ref="A1:F1"/>
  </mergeCells>
  <pageMargins left="0.4" right="0.4" top="0.4" bottom="0.4" header="0.2" footer="0.2"/>
  <pageSetup paperSize="9" orientation="landscape"/>
  <headerFooter>
    <oddFooter>&amp;RPágina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topLeftCell="A3" workbookViewId="0">
      <selection activeCell="J21" sqref="J21"/>
    </sheetView>
  </sheetViews>
  <sheetFormatPr defaultRowHeight="15" x14ac:dyDescent="0.25"/>
  <cols>
    <col min="1" max="1" width="12" customWidth="1"/>
    <col min="2" max="5" width="14" customWidth="1"/>
    <col min="6" max="6" width="12" customWidth="1"/>
    <col min="7" max="7" width="16" customWidth="1"/>
    <col min="8" max="8" width="52" customWidth="1"/>
  </cols>
  <sheetData>
    <row r="1" spans="1:8" ht="24" customHeight="1" x14ac:dyDescent="0.3">
      <c r="A1" s="23" t="s">
        <v>38</v>
      </c>
      <c r="B1" s="20"/>
      <c r="C1" s="20"/>
      <c r="D1" s="20"/>
      <c r="E1" s="20"/>
      <c r="F1" s="20"/>
      <c r="G1" s="20"/>
      <c r="H1" s="20"/>
    </row>
    <row r="3" spans="1:8" ht="27.95" customHeight="1" x14ac:dyDescent="0.25">
      <c r="A3" s="12" t="s">
        <v>28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</row>
    <row r="4" spans="1:8" ht="25.5" x14ac:dyDescent="0.25">
      <c r="A4" s="15">
        <v>45698</v>
      </c>
      <c r="B4" s="16" t="s">
        <v>13</v>
      </c>
      <c r="C4" s="16" t="s">
        <v>14</v>
      </c>
      <c r="D4" s="16" t="s">
        <v>15</v>
      </c>
      <c r="E4" s="16">
        <v>25</v>
      </c>
      <c r="F4" s="16" t="s">
        <v>15</v>
      </c>
      <c r="G4" s="14" t="s">
        <v>16</v>
      </c>
      <c r="H4" s="14" t="s">
        <v>17</v>
      </c>
    </row>
    <row r="5" spans="1:8" ht="51" x14ac:dyDescent="0.25">
      <c r="A5" s="15">
        <v>46071</v>
      </c>
      <c r="B5" s="16" t="s">
        <v>18</v>
      </c>
      <c r="C5" s="16" t="s">
        <v>19</v>
      </c>
      <c r="D5" s="16" t="s">
        <v>19</v>
      </c>
      <c r="E5" s="16">
        <v>25</v>
      </c>
      <c r="F5" s="16">
        <v>25</v>
      </c>
      <c r="G5" s="14" t="s">
        <v>20</v>
      </c>
      <c r="H5" s="14" t="s">
        <v>21</v>
      </c>
    </row>
    <row r="6" spans="1:8" ht="63.75" x14ac:dyDescent="0.25">
      <c r="A6" s="15">
        <v>46232</v>
      </c>
      <c r="B6" s="16" t="s">
        <v>22</v>
      </c>
      <c r="C6" s="16" t="s">
        <v>23</v>
      </c>
      <c r="D6" s="16" t="s">
        <v>24</v>
      </c>
      <c r="E6" s="16">
        <v>23</v>
      </c>
      <c r="F6" s="16">
        <v>11</v>
      </c>
      <c r="G6" s="14" t="s">
        <v>25</v>
      </c>
      <c r="H6" s="14" t="s">
        <v>26</v>
      </c>
    </row>
    <row r="9" spans="1:8" x14ac:dyDescent="0.25">
      <c r="A9" s="17" t="s">
        <v>46</v>
      </c>
      <c r="B9" s="17" t="s">
        <v>6</v>
      </c>
      <c r="C9" s="17" t="s">
        <v>47</v>
      </c>
      <c r="D9" s="17" t="s">
        <v>10</v>
      </c>
    </row>
    <row r="10" spans="1:8" x14ac:dyDescent="0.25">
      <c r="A10" s="18">
        <v>45698</v>
      </c>
      <c r="B10">
        <v>4.58</v>
      </c>
      <c r="C10">
        <v>2.5</v>
      </c>
    </row>
    <row r="11" spans="1:8" x14ac:dyDescent="0.25">
      <c r="A11" s="18">
        <v>46071</v>
      </c>
      <c r="B11">
        <v>5.58</v>
      </c>
      <c r="C11">
        <v>3.5</v>
      </c>
      <c r="D11">
        <v>3.5</v>
      </c>
    </row>
    <row r="12" spans="1:8" x14ac:dyDescent="0.25">
      <c r="A12" s="18">
        <v>46232</v>
      </c>
      <c r="B12">
        <v>6.08</v>
      </c>
      <c r="C12">
        <v>4.17</v>
      </c>
      <c r="D12">
        <v>5.17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Idade óssea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Rafael da Silva Filho</cp:lastModifiedBy>
  <dcterms:created xsi:type="dcterms:W3CDTF">2026-08-14T16:55:33Z</dcterms:created>
  <dcterms:modified xsi:type="dcterms:W3CDTF">2026-08-31T18:27:26Z</dcterms:modified>
</cp:coreProperties>
</file>